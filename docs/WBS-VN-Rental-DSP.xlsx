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Dictionary" sheetId="1" state="visible" r:id="rId3"/>
    <sheet name="Roll-Up" sheetId="2" state="visible" r:id="rId4"/>
    <sheet name="Weekly Load" sheetId="3" state="visible" r:id="rId5"/>
    <sheet name="Critical Path" sheetId="4" state="visible" r:id="rId6"/>
    <sheet name="Read Me" sheetId="5" state="visible" r:id="rId7"/>
  </sheets>
  <definedNames>
    <definedName function="false" hidden="true" localSheetId="0" name="_xlnm._FilterDatabase" vbProcedure="false">'WBS Dictionary'!$A$1:$K$65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<sst xmlns="http://schemas.openxmlformats.org/spreadsheetml/2006/main" count="784" uniqueCount="366">
  <si>
    <t xml:space="preserve">WBS ID</t>
  </si>
  <si>
    <t xml:space="preserve">Branch</t>
  </si>
  <si>
    <t xml:space="preserve">Work Package</t>
  </si>
  <si>
    <t xml:space="preserve">Hours</t>
  </si>
  <si>
    <t xml:space="preserve">Week</t>
  </si>
  <si>
    <t xml:space="preserve">Depends On</t>
  </si>
  <si>
    <t xml:space="preserve">Completion Criterion</t>
  </si>
  <si>
    <t xml:space="preserve">Plan Ref</t>
  </si>
  <si>
    <t xml:space="preserve">Critical Path</t>
  </si>
  <si>
    <t xml:space="preserve">Status</t>
  </si>
  <si>
    <t xml:space="preserve">% Complete</t>
  </si>
  <si>
    <t xml:space="preserve">1.1.1</t>
  </si>
  <si>
    <t xml:space="preserve">1.0</t>
  </si>
  <si>
    <t xml:space="preserve">Project charter</t>
  </si>
  <si>
    <t xml:space="preserve">0</t>
  </si>
  <si>
    <t xml:space="preserve">-</t>
  </si>
  <si>
    <t xml:space="preserve">Scope, problem, success criteria approved</t>
  </si>
  <si>
    <t xml:space="preserve">N</t>
  </si>
  <si>
    <t xml:space="preserve">Not started</t>
  </si>
  <si>
    <t xml:space="preserve">1.1.2</t>
  </si>
  <si>
    <t xml:space="preserve">Technical design specification</t>
  </si>
  <si>
    <t xml:space="preserve">Architecture, schemas, algorithms documented</t>
  </si>
  <si>
    <t xml:space="preserve">1.1.3</t>
  </si>
  <si>
    <t xml:space="preserve">WBS &amp; schedule</t>
  </si>
  <si>
    <t xml:space="preserve">All work decomposed; critical path identified</t>
  </si>
  <si>
    <t xml:space="preserve">1.2.1</t>
  </si>
  <si>
    <t xml:space="preserve">Risk register maintenance</t>
  </si>
  <si>
    <t xml:space="preserve">1-6</t>
  </si>
  <si>
    <t xml:space="preserve">Reviewed and dated every Monday</t>
  </si>
  <si>
    <t xml:space="preserve">1.2.2</t>
  </si>
  <si>
    <t xml:space="preserve">Cost guardrails &amp; budget alarms</t>
  </si>
  <si>
    <t xml:space="preserve">1</t>
  </si>
  <si>
    <t xml:space="preserve">3.1.1</t>
  </si>
  <si>
    <t xml:space="preserve">Alerts at $10/$25/$50 firing; egress alarm set</t>
  </si>
  <si>
    <t xml:space="preserve">T2</t>
  </si>
  <si>
    <t xml:space="preserve">1.2.3</t>
  </si>
  <si>
    <t xml:space="preserve">Weekly progress log</t>
  </si>
  <si>
    <t xml:space="preserve">6 dated entries: cost, volume, event rate</t>
  </si>
  <si>
    <t xml:space="preserve">1.3.1</t>
  </si>
  <si>
    <t xml:space="preserve">Data governance &amp; ethics policy</t>
  </si>
  <si>
    <t xml:space="preserve">Publishable without edits</t>
  </si>
  <si>
    <t xml:space="preserve">1.3.2</t>
  </si>
  <si>
    <t xml:space="preserve">robots.txt re-verification</t>
  </si>
  <si>
    <t xml:space="preserve">Matrix re-checked weekly; changes logged</t>
  </si>
  <si>
    <t xml:space="preserve">2.1.1</t>
  </si>
  <si>
    <t xml:space="preserve">2.0</t>
  </si>
  <si>
    <t xml:space="preserve">Repo skeleton &amp; config loader</t>
  </si>
  <si>
    <t xml:space="preserve">pytest tests/test_smoke.py green</t>
  </si>
  <si>
    <t xml:space="preserve">T1</t>
  </si>
  <si>
    <t xml:space="preserve">2.1.2</t>
  </si>
  <si>
    <t xml:space="preserve">Source definitions (4 portals)</t>
  </si>
  <si>
    <t xml:space="preserve">4 sources with sitemaps and URL patterns</t>
  </si>
  <si>
    <t xml:space="preserve">2.1.3</t>
  </si>
  <si>
    <t xml:space="preserve">Crawl frontier (SQLite, panel-aware)</t>
  </si>
  <si>
    <t xml:space="preserve">5 frontier tests green; 2-failure rule verified</t>
  </si>
  <si>
    <t xml:space="preserve">T4</t>
  </si>
  <si>
    <t xml:space="preserve">Y</t>
  </si>
  <si>
    <t xml:space="preserve">2.1.4</t>
  </si>
  <si>
    <t xml:space="preserve">Sitemap poller with index recursion</t>
  </si>
  <si>
    <t xml:space="preserve">Returns &gt;=10k URLs for one live source</t>
  </si>
  <si>
    <t xml:space="preserve">T5</t>
  </si>
  <si>
    <t xml:space="preserve">2.2.2</t>
  </si>
  <si>
    <t xml:space="preserve">Scrapy spider - batdongsan</t>
  </si>
  <si>
    <t xml:space="preserve">2.1.3, 2.2.4</t>
  </si>
  <si>
    <t xml:space="preserve">BRONZE OBJECTS LANDING IN S3 (Sep 18)</t>
  </si>
  <si>
    <t xml:space="preserve">T6</t>
  </si>
  <si>
    <t xml:space="preserve">2.2.3</t>
  </si>
  <si>
    <t xml:space="preserve">Scrapy spiders - phongtro123, mogi, nhatot</t>
  </si>
  <si>
    <t xml:space="preserve">4 source= prefixes in today's partition</t>
  </si>
  <si>
    <t xml:space="preserve">T7</t>
  </si>
  <si>
    <t xml:space="preserve">2.2.4</t>
  </si>
  <si>
    <t xml:space="preserve">S3 bronze batch writer</t>
  </si>
  <si>
    <t xml:space="preserve">Writer test green; ~128 MB parts</t>
  </si>
  <si>
    <t xml:space="preserve">2.3.1</t>
  </si>
  <si>
    <t xml:space="preserve">Provisional cohort freeze (Sep 20)</t>
  </si>
  <si>
    <t xml:space="preserve">~50k listings flagged in_panel</t>
  </si>
  <si>
    <t xml:space="preserve">T8</t>
  </si>
  <si>
    <t xml:space="preserve">2.3.2</t>
  </si>
  <si>
    <t xml:space="preserve">Full cohort freeze, stratified (Sep 25)</t>
  </si>
  <si>
    <t xml:space="preserve">2</t>
  </si>
  <si>
    <t xml:space="preserve">~200k, stratified by source x province</t>
  </si>
  <si>
    <t xml:space="preserve">T12</t>
  </si>
  <si>
    <t xml:space="preserve">2.3.3</t>
  </si>
  <si>
    <t xml:space="preserve">Daily liveness probe scheduler</t>
  </si>
  <si>
    <t xml:space="preserve">Soft-delete detection tested; 2 days landed</t>
  </si>
  <si>
    <t xml:space="preserve">2.4.1</t>
  </si>
  <si>
    <t xml:space="preserve">EC2 deployment &amp; cron scheduling</t>
  </si>
  <si>
    <t xml:space="preserve">Unattended run across a full day</t>
  </si>
  <si>
    <t xml:space="preserve">2.4.2</t>
  </si>
  <si>
    <t xml:space="preserve">Throughput validation &amp; monitoring</t>
  </si>
  <si>
    <t xml:space="preserve">&gt;=2,000 pages/hour sustained</t>
  </si>
  <si>
    <t xml:space="preserve">3.0</t>
  </si>
  <si>
    <t xml:space="preserve">S3 bucket, prefixes, lifecycle rules</t>
  </si>
  <si>
    <t xml:space="preserve">Public access blocked; prefixes created</t>
  </si>
  <si>
    <t xml:space="preserve">3.1.2</t>
  </si>
  <si>
    <t xml:space="preserve">Glue Data Catalog &amp; Athena setup</t>
  </si>
  <si>
    <t xml:space="preserve">3</t>
  </si>
  <si>
    <t xml:space="preserve">4.1.3</t>
  </si>
  <si>
    <t xml:space="preserve">Silver queryable via Athena</t>
  </si>
  <si>
    <t xml:space="preserve">T15</t>
  </si>
  <si>
    <t xml:space="preserve">3.2.1</t>
  </si>
  <si>
    <t xml:space="preserve">Oracle Always Free VM provisioning (3 nodes)</t>
  </si>
  <si>
    <t xml:space="preserve">3 VMs running; ports open in VCN only</t>
  </si>
  <si>
    <t xml:space="preserve">T10</t>
  </si>
  <si>
    <t xml:space="preserve">3.2.2</t>
  </si>
  <si>
    <t xml:space="preserve">Spark 3.5 standalone install + S3A connector</t>
  </si>
  <si>
    <t xml:space="preserve">2 workers ALIVE; smoke_s3.py returns a count</t>
  </si>
  <si>
    <t xml:space="preserve">3.2.3</t>
  </si>
  <si>
    <t xml:space="preserve">Job submission tooling (submit.sh)</t>
  </si>
  <si>
    <t xml:space="preserve">submit.sh runs a job end to end</t>
  </si>
  <si>
    <t xml:space="preserve">3.3.1</t>
  </si>
  <si>
    <t xml:space="preserve">Docker HDFS/YARN demo cluster (optional)</t>
  </si>
  <si>
    <t xml:space="preserve">NameNode + ResourceManager screenshots</t>
  </si>
  <si>
    <t xml:space="preserve">4.1.1</t>
  </si>
  <si>
    <t xml:space="preserve">4.0</t>
  </si>
  <si>
    <t xml:space="preserve">Parser ABC &amp; Vietnamese normalisation</t>
  </si>
  <si>
    <t xml:space="preserve">13 normalisation tests green</t>
  </si>
  <si>
    <t xml:space="preserve">T3</t>
  </si>
  <si>
    <t xml:space="preserve">4.1.2</t>
  </si>
  <si>
    <t xml:space="preserve">Four source parsers + HTML fixtures</t>
  </si>
  <si>
    <t xml:space="preserve">8 parser tests green; property types mapped</t>
  </si>
  <si>
    <t xml:space="preserve">T3,T7</t>
  </si>
  <si>
    <t xml:space="preserve">Spark bronze-&gt;silver parse job</t>
  </si>
  <si>
    <t xml:space="preserve">4.1.2, 3.2.3</t>
  </si>
  <si>
    <t xml:space="preserve">Idempotency test green; silver written</t>
  </si>
  <si>
    <t xml:space="preserve">T9</t>
  </si>
  <si>
    <t xml:space="preserve">4.2.1</t>
  </si>
  <si>
    <t xml:space="preserve">PII stripping &amp; automated leak gate</t>
  </si>
  <si>
    <t xml:space="preserve">Audit query returns 0</t>
  </si>
  <si>
    <t xml:space="preserve">4.2.2</t>
  </si>
  <si>
    <t xml:space="preserve">Schema, range &amp; parse-rate assertions</t>
  </si>
  <si>
    <t xml:space="preserve">Job fails loudly; parse rate &gt;=95%</t>
  </si>
  <si>
    <t xml:space="preserve">4.3.1</t>
  </si>
  <si>
    <t xml:space="preserve">MinHash LSH dedup &amp; canonicalisation</t>
  </si>
  <si>
    <t xml:space="preserve">20 clusters validated; rate 10-25%</t>
  </si>
  <si>
    <t xml:space="preserve">T11</t>
  </si>
  <si>
    <t xml:space="preserve">4.4.1</t>
  </si>
  <si>
    <t xml:space="preserve">Panel fact table (listing x day)</t>
  </si>
  <si>
    <t xml:space="preserve">4.3.1, 2.3.3</t>
  </si>
  <si>
    <t xml:space="preserve">One row per listing per day</t>
  </si>
  <si>
    <t xml:space="preserve">T13</t>
  </si>
  <si>
    <t xml:space="preserve">4.4.2</t>
  </si>
  <si>
    <t xml:space="preserve">Right-censored survival labelling</t>
  </si>
  <si>
    <t xml:space="preserve">Censoring test green; 1 absence != event</t>
  </si>
  <si>
    <t xml:space="preserve">5.1.1</t>
  </si>
  <si>
    <t xml:space="preserve">5.0</t>
  </si>
  <si>
    <t xml:space="preserve">OSM POI extraction (Overpass)</t>
  </si>
  <si>
    <t xml:space="preserve">osm_pois.parquet cached</t>
  </si>
  <si>
    <t xml:space="preserve">T14</t>
  </si>
  <si>
    <t xml:space="preserve">5.1.2</t>
  </si>
  <si>
    <t xml:space="preserve">H3 indexing &amp; proximity features</t>
  </si>
  <si>
    <t xml:space="preserve">5.1.1, 4.1.3</t>
  </si>
  <si>
    <t xml:space="preserve">H3 tests green; null coords handled</t>
  </si>
  <si>
    <t xml:space="preserve">5.2.1</t>
  </si>
  <si>
    <t xml:space="preserve">Market structure notebook</t>
  </si>
  <si>
    <t xml:space="preserve">Distributions, missingness, duplicate rates</t>
  </si>
  <si>
    <t xml:space="preserve">5.2.2</t>
  </si>
  <si>
    <t xml:space="preserve">Geographic analysis &amp; choropleth maps</t>
  </si>
  <si>
    <t xml:space="preserve">Choropleth + hexbin + distance-to-CBD fit</t>
  </si>
  <si>
    <t xml:space="preserve">5.2.3</t>
  </si>
  <si>
    <t xml:space="preserve">Temporal analysis &amp; Kaplan-Meier curves</t>
  </si>
  <si>
    <t xml:space="preserve">KM by price quintile - the thesis figure</t>
  </si>
  <si>
    <t xml:space="preserve">5.3.1</t>
  </si>
  <si>
    <t xml:space="preserve">Report-quality figure set (300 dpi)</t>
  </si>
  <si>
    <t xml:space="preserve">All figures exported to reports/figures/</t>
  </si>
  <si>
    <t xml:space="preserve">6.1.1</t>
  </si>
  <si>
    <t xml:space="preserve">6.0</t>
  </si>
  <si>
    <t xml:space="preserve">Feature engineering (numeric/geo/text/amenity)</t>
  </si>
  <si>
    <t xml:space="preserve">4</t>
  </si>
  <si>
    <t xml:space="preserve">5.1.2, 4.3.1</t>
  </si>
  <si>
    <t xml:space="preserve">features_rent written</t>
  </si>
  <si>
    <t xml:space="preserve">T17</t>
  </si>
  <si>
    <t xml:space="preserve">6.1.2</t>
  </si>
  <si>
    <t xml:space="preserve">Leakage-safe temporal split</t>
  </si>
  <si>
    <t xml:space="preserve">Cluster-leak test green</t>
  </si>
  <si>
    <t xml:space="preserve">6.2.1</t>
  </si>
  <si>
    <t xml:space="preserve">District-median baseline</t>
  </si>
  <si>
    <t xml:space="preserve">Baseline MAPE recorded</t>
  </si>
  <si>
    <t xml:space="preserve">T18</t>
  </si>
  <si>
    <t xml:space="preserve">6.2.2</t>
  </si>
  <si>
    <t xml:space="preserve">GBT regressor training &amp; evaluation</t>
  </si>
  <si>
    <t xml:space="preserve">MAPE by province and price decile</t>
  </si>
  <si>
    <t xml:space="preserve">6.2.3</t>
  </si>
  <si>
    <t xml:space="preserve">Hyperparameter tuning (CrossValidator)</t>
  </si>
  <si>
    <t xml:space="preserve">MAPE &lt;=20%, &gt;=30% better than baseline</t>
  </si>
  <si>
    <t xml:space="preserve">6.2.4</t>
  </si>
  <si>
    <t xml:space="preserve">price_gap scoring across all listings</t>
  </si>
  <si>
    <t xml:space="preserve">features_survival carries price_gap</t>
  </si>
  <si>
    <t xml:space="preserve">6.3.1</t>
  </si>
  <si>
    <t xml:space="preserve">AFT survival regression</t>
  </si>
  <si>
    <t xml:space="preserve">5</t>
  </si>
  <si>
    <t xml:space="preserve">6.2.4, 4.4.2</t>
  </si>
  <si>
    <t xml:space="preserve">Censoring convention verified; model fits</t>
  </si>
  <si>
    <t xml:space="preserve">T19</t>
  </si>
  <si>
    <t xml:space="preserve">6.3.2</t>
  </si>
  <si>
    <t xml:space="preserve">Concordance evaluation</t>
  </si>
  <si>
    <t xml:space="preserve">C-index &gt;= 0.65</t>
  </si>
  <si>
    <t xml:space="preserve">6.3.3</t>
  </si>
  <si>
    <t xml:space="preserve">price_gap ablation study</t>
  </si>
  <si>
    <t xml:space="preserve">Delta concordance recorded either way</t>
  </si>
  <si>
    <t xml:space="preserve">6.3.4</t>
  </si>
  <si>
    <t xml:space="preserve">Left-truncation sensitivity analysis</t>
  </si>
  <si>
    <t xml:space="preserve">Both fits reported; divergence discussed</t>
  </si>
  <si>
    <t xml:space="preserve">7.1.1</t>
  </si>
  <si>
    <t xml:space="preserve">7.0</t>
  </si>
  <si>
    <t xml:space="preserve">Price-vs-days curve generator</t>
  </si>
  <si>
    <t xml:space="preserve">Monotonicity test green</t>
  </si>
  <si>
    <t xml:space="preserve">T20</t>
  </si>
  <si>
    <t xml:space="preserve">7.1.2</t>
  </si>
  <si>
    <t xml:space="preserve">Optimal price selection (isotonic)</t>
  </si>
  <si>
    <t xml:space="preserve">3 worked examples for the report</t>
  </si>
  <si>
    <t xml:space="preserve">7.1.3</t>
  </si>
  <si>
    <t xml:space="preserve">Mispricing / bargain alert table</t>
  </si>
  <si>
    <t xml:space="preserve">Top-100 underpriced liquid listings</t>
  </si>
  <si>
    <t xml:space="preserve">7.2.1</t>
  </si>
  <si>
    <t xml:space="preserve">Feature importance &amp; partial dependence</t>
  </si>
  <si>
    <t xml:space="preserve">Top-10 rent drivers named and explained</t>
  </si>
  <si>
    <t xml:space="preserve">T21</t>
  </si>
  <si>
    <t xml:space="preserve">7.2.2</t>
  </si>
  <si>
    <t xml:space="preserve">Residual failure-mode analysis</t>
  </si>
  <si>
    <t xml:space="preserve">Failure modes by district, band, source</t>
  </si>
  <si>
    <t xml:space="preserve">7.2.3</t>
  </si>
  <si>
    <t xml:space="preserve">Interactive district map artefact</t>
  </si>
  <si>
    <t xml:space="preserve">Clickable folium artefact</t>
  </si>
  <si>
    <t xml:space="preserve">8.1.1</t>
  </si>
  <si>
    <t xml:space="preserve">8.0</t>
  </si>
  <si>
    <t xml:space="preserve">Report 1 - Project Proposal (Sep 20)</t>
  </si>
  <si>
    <t xml:space="preserve">1.1.1, 1.1.2</t>
  </si>
  <si>
    <t xml:space="preserve">Submitted Sep 20</t>
  </si>
  <si>
    <t xml:space="preserve">8.1.2</t>
  </si>
  <si>
    <t xml:space="preserve">Report 2 - Data Tasks (Oct 4)</t>
  </si>
  <si>
    <t xml:space="preserve">4.x, 5.x</t>
  </si>
  <si>
    <t xml:space="preserve">Submitted Oct 4; Spark justification evidenced</t>
  </si>
  <si>
    <t xml:space="preserve">T16</t>
  </si>
  <si>
    <t xml:space="preserve">8.1.3</t>
  </si>
  <si>
    <t xml:space="preserve">Report 3 - Model &amp; Results (Oct 18)</t>
  </si>
  <si>
    <t xml:space="preserve">6.x, 7.x</t>
  </si>
  <si>
    <t xml:space="preserve">Submitted Oct 18</t>
  </si>
  <si>
    <t xml:space="preserve">T22</t>
  </si>
  <si>
    <t xml:space="preserve">8.1.4</t>
  </si>
  <si>
    <t xml:space="preserve">Report 4 - Final Consolidated (Oct 25)</t>
  </si>
  <si>
    <t xml:space="preserve">6</t>
  </si>
  <si>
    <t xml:space="preserve">8.1.1-8.1.3</t>
  </si>
  <si>
    <t xml:space="preserve">Consolidated; design changes explained</t>
  </si>
  <si>
    <t xml:space="preserve">T24</t>
  </si>
  <si>
    <t xml:space="preserve">8.2.1</t>
  </si>
  <si>
    <t xml:space="preserve">Public repository, README, diagram</t>
  </si>
  <si>
    <t xml:space="preserve">all</t>
  </si>
  <si>
    <t xml:space="preserve">Public; no credentials in history</t>
  </si>
  <si>
    <t xml:space="preserve">T23</t>
  </si>
  <si>
    <t xml:space="preserve">8.2.2</t>
  </si>
  <si>
    <t xml:space="preserve">Reproducibility verification</t>
  </si>
  <si>
    <t xml:space="preserve">Clean checkout runs from README alone</t>
  </si>
  <si>
    <t xml:space="preserve">8.3.1</t>
  </si>
  <si>
    <t xml:space="preserve">Capstone presentation deck (~15 slides)</t>
  </si>
  <si>
    <t xml:space="preserve">~15 slides built</t>
  </si>
  <si>
    <t xml:space="preserve">8.3.2</t>
  </si>
  <si>
    <t xml:space="preserve">Defence preparation &amp; rehearsal</t>
  </si>
  <si>
    <t xml:space="preserve">4 questions answerable; rehearsed twice</t>
  </si>
  <si>
    <t xml:space="preserve">TOTAL - WORK PACKAGES</t>
  </si>
  <si>
    <t xml:space="preserve">Effort Roll-Up by WBS Branch</t>
  </si>
  <si>
    <t xml:space="preserve">All values computed from the WBS Dictionary sheet - edit hours there, not here.</t>
  </si>
  <si>
    <t xml:space="preserve">WBS</t>
  </si>
  <si>
    <t xml:space="preserve">Element</t>
  </si>
  <si>
    <t xml:space="preserve">% of Total</t>
  </si>
  <si>
    <t xml:space="preserve">Packages</t>
  </si>
  <si>
    <t xml:space="preserve">Earned Hours</t>
  </si>
  <si>
    <t xml:space="preserve">Project Management &amp; Governance</t>
  </si>
  <si>
    <t xml:space="preserve">Data Collection System</t>
  </si>
  <si>
    <t xml:space="preserve">Data Platform</t>
  </si>
  <si>
    <t xml:space="preserve">Data Processing &amp; Quality</t>
  </si>
  <si>
    <t xml:space="preserve">Exploratory Data Analysis</t>
  </si>
  <si>
    <t xml:space="preserve">Predictive Models</t>
  </si>
  <si>
    <t xml:space="preserve">Results &amp; Prescriptive Layer</t>
  </si>
  <si>
    <t xml:space="preserve">Deliverables &amp; Defence</t>
  </si>
  <si>
    <t xml:space="preserve">9.0</t>
  </si>
  <si>
    <t xml:space="preserve">Management Reserve (unallocated)</t>
  </si>
  <si>
    <t xml:space="preserve">TOTAL PROJECT EFFORT</t>
  </si>
  <si>
    <t xml:space="preserve">Management reserve is held against realised risk (see Risk Register), not scope growth.</t>
  </si>
  <si>
    <t xml:space="preserve">Earned Hours = sum of (package hours x % complete). Update % Complete in the WBS Dictionary.</t>
  </si>
  <si>
    <t xml:space="preserve">Weekly Effort Load vs Capacity</t>
  </si>
  <si>
    <t xml:space="preserve">Capacity assumption (h/week) - editable:</t>
  </si>
  <si>
    <t xml:space="preserve">Dates</t>
  </si>
  <si>
    <t xml:space="preserve">Planned Hours</t>
  </si>
  <si>
    <t xml:space="preserve">Capacity</t>
  </si>
  <si>
    <t xml:space="preserve">Load %</t>
  </si>
  <si>
    <t xml:space="preserve">Key Milestone</t>
  </si>
  <si>
    <t xml:space="preserve">Pre-project (planning)</t>
  </si>
  <si>
    <t xml:space="preserve">Charter, spec, WBS complete</t>
  </si>
  <si>
    <t xml:space="preserve">Sep 14 - Sep 20</t>
  </si>
  <si>
    <t xml:space="preserve">CRAWLER LIVE Sep 18; Report 1 Sep 20</t>
  </si>
  <si>
    <t xml:space="preserve">Sep 21 - Sep 27</t>
  </si>
  <si>
    <t xml:space="preserve">Spark cluster up; COHORT FROZEN Sep 25</t>
  </si>
  <si>
    <t xml:space="preserve">Sep 28 - Oct 4</t>
  </si>
  <si>
    <t xml:space="preserve">Event-rate checkpoint; Report 2 Oct 4</t>
  </si>
  <si>
    <t xml:space="preserve">Oct 5 - Oct 11</t>
  </si>
  <si>
    <t xml:space="preserve">Rent model meets MAPE target</t>
  </si>
  <si>
    <t xml:space="preserve">Oct 12 - Oct 18</t>
  </si>
  <si>
    <t xml:space="preserve">PANEL CENSORED Oct 12; Report 3 Oct 18</t>
  </si>
  <si>
    <t xml:space="preserve">Oct 19 - Oct 25</t>
  </si>
  <si>
    <t xml:space="preserve">Report 4 + oral defence Oct 25</t>
  </si>
  <si>
    <t xml:space="preserve">Continuous (weeks 1-6, ~0.5 h/wk)</t>
  </si>
  <si>
    <t xml:space="preserve">Risk review, progress log, robots.txt re-check</t>
  </si>
  <si>
    <t xml:space="preserve">Management reserve (unallocated)</t>
  </si>
  <si>
    <t xml:space="preserve">TOTAL</t>
  </si>
  <si>
    <t xml:space="preserve">Load % = Planned / Capacity. "OVER" above 110%, "TIGHT" above 100%.</t>
  </si>
  <si>
    <t xml:space="preserve">Week 1 is deliberately front-loaded: the crawler must be live by Sep 18 or survival labels are lost permanently.</t>
  </si>
  <si>
    <t xml:space="preserve">Critical Path - Zero-Float Work Packages</t>
  </si>
  <si>
    <t xml:space="preserve">A day lost on any package below moves the project end date.</t>
  </si>
  <si>
    <t xml:space="preserve">Why it is critical</t>
  </si>
  <si>
    <t xml:space="preserve">Frontier is the prerequisite for any crawling at all.</t>
  </si>
  <si>
    <t xml:space="preserve">HARD DEADLINE Sep 18. Observation window cannot be back-filled.</t>
  </si>
  <si>
    <t xml:space="preserve">Without the writer, fetched pages are not persisted.</t>
  </si>
  <si>
    <t xml:space="preserve">Cohort freeze date sets the start of every survival duration.</t>
  </si>
  <si>
    <t xml:space="preserve">17 days of elapsed observation - cannot be compressed by effort.</t>
  </si>
  <si>
    <t xml:space="preserve">Unattended cron is what makes collection continuous.</t>
  </si>
  <si>
    <t xml:space="preserve">Silver layer blocks dedup, panel, features and both models.</t>
  </si>
  <si>
    <t xml:space="preserve">Unmerged re-posts corrupt survival labels irreversibly.</t>
  </si>
  <si>
    <t xml:space="preserve">Panel assembly gates all survival work.</t>
  </si>
  <si>
    <t xml:space="preserve">Labels must exist before any model can be fitted.</t>
  </si>
  <si>
    <t xml:space="preserve">Leakage guard - without it, all reported metrics are invalid.</t>
  </si>
  <si>
    <t xml:space="preserve">price_gap is the feature linking Stage 1 to Stage 2.</t>
  </si>
  <si>
    <t xml:space="preserve">The headline model of Report 3.</t>
  </si>
  <si>
    <t xml:space="preserve">Success criterion C-index &gt;= 0.65 is measured here.</t>
  </si>
  <si>
    <t xml:space="preserve">Prescriptive output depends on it; Report 3 conclusion.</t>
  </si>
  <si>
    <t xml:space="preserve">Graded deliverable with a fixed external deadline.</t>
  </si>
  <si>
    <t xml:space="preserve">TOTAL CRITICAL-PATH EFFORT</t>
  </si>
  <si>
    <t xml:space="preserve">Note: 2.3.3 consumes only 2.5 h of effort but 17 calendar days. Elapsed time, not effort, is the binding constraint.</t>
  </si>
  <si>
    <t xml:space="preserve">WORK BREAKDOWN STRUCTURE</t>
  </si>
  <si>
    <t xml:space="preserve">Vietnam Urban Rental Market Intelligence</t>
  </si>
  <si>
    <t xml:space="preserve">Project</t>
  </si>
  <si>
    <t xml:space="preserve">End-to-end big data capstone: crawl Vietnamese rental portals, process on Spark, model fair rent and time-on-market, deliver four reports and an oral defence.</t>
  </si>
  <si>
    <t xml:space="preserve">Window</t>
  </si>
  <si>
    <t xml:space="preserve">2026-09-14 to 2026-10-25 (6 weeks). Solo execution. 165 hours total effort.</t>
  </si>
  <si>
    <t xml:space="preserve">Owner</t>
  </si>
  <si>
    <t xml:space="preserve">Nguyen (nguyenpnt4@fpt.com)</t>
  </si>
  <si>
    <t xml:space="preserve">Source documents</t>
  </si>
  <si>
    <t xml:space="preserve">01-project-charter.md - scope and success criteria
02-technical-design-spec.md - architecture and schemas
03-implementation-plan.md - task detail (Plan Ref column maps here)
04-schedule-and-milestones.md - dates and go/no-go checkpoints
05-risk-register.md - risks feeding the management reserve
07-work-breakdown-structure.md - narrative version of this workbook</t>
  </si>
  <si>
    <t xml:space="preserve">HOW TO USE</t>
  </si>
  <si>
    <t xml:space="preserve">Cells you edit</t>
  </si>
  <si>
    <t xml:space="preserve">Only the YELLOW cells. In 'WBS Dictionary' these are Status and % Complete (one row per work package). In 'Weekly Load' it is the capacity assumption in D2. Everything else is a formula and will recalculate on its own.</t>
  </si>
  <si>
    <t xml:space="preserve">Status values</t>
  </si>
  <si>
    <t xml:space="preserve">Not started / In progress / Blocked / Done. All rows ship as 'Not started' - that is the expected format, overwrite it as work proceeds.</t>
  </si>
  <si>
    <t xml:space="preserve">Enter as a percentage (0% to 100%). Roll-Up multiplies it by package hours to give Earned Hours, so partial progress is visible without any extra bookkeeping.</t>
  </si>
  <si>
    <t xml:space="preserve">Adding work</t>
  </si>
  <si>
    <t xml:space="preserve">Insert rows inside the existing data range so the SUMIF and SUMPRODUCT formulas expand with them. Adding a row below the TOTAL row will be excluded from every total.</t>
  </si>
  <si>
    <t xml:space="preserve">CONVENTIONS</t>
  </si>
  <si>
    <t xml:space="preserve">Blue text</t>
  </si>
  <si>
    <t xml:space="preserve">A hardcoded input, entered by hand rather than calculated.</t>
  </si>
  <si>
    <t xml:space="preserve">Yellow fill</t>
  </si>
  <si>
    <t xml:space="preserve">A cell you are expected to fill in or maintain.</t>
  </si>
  <si>
    <t xml:space="preserve">Red 'Y'</t>
  </si>
  <si>
    <t xml:space="preserve">Zero-float package - on the critical path. See the Critical Path sheet.</t>
  </si>
  <si>
    <t xml:space="preserve">Green fill</t>
  </si>
  <si>
    <t xml:space="preserve">A calculated total.</t>
  </si>
  <si>
    <t xml:space="preserve">ASSUMPTIONS</t>
  </si>
  <si>
    <t xml:space="preserve">Capacity 27 h/week</t>
  </si>
  <si>
    <t xml:space="preserve">Supplied by the project owner as realistic availability alongside other commitments. Editable in Weekly Load D2 - every load figure follows it.</t>
  </si>
  <si>
    <t xml:space="preserve">Reserve 15 h (9%)</t>
  </si>
  <si>
    <t xml:space="preserve">Held against realised risk (R-01 crawler delay, R-12 Oracle capacity, R-05 duplicate contamination, R-06 parser breakage), NOT against scope growth. 9% is thin for a project carrying two critical risks; this is acknowledged, and the pre-agreed cut list is the response when it runs out.</t>
  </si>
  <si>
    <t xml:space="preserve">Effort estimates</t>
  </si>
  <si>
    <t xml:space="preserve">Bottom-up, produced by the project owner and Claude during planning on 2026-09-11. No historical velocity data exists for this team of one, so these are judgement-based and should be re-baselined after Week 1 actuals.</t>
  </si>
  <si>
    <t xml:space="preserve">Week 0 work</t>
  </si>
  <si>
    <t xml:space="preserve">Charter, spec, governance policy and this WBS are already complete and are shown at zero capacity, so they do not inflate the six-week load.</t>
  </si>
  <si>
    <t xml:space="preserve">Exclusions</t>
  </si>
  <si>
    <t xml:space="preserve">Images/CNN features, Streamlit dashboard, Supabase serving layer, streaming ingestion, sale listings, social-media sources, Airflow, and transformer embeddings are OUT OF SCOPE. Starting any of them requires a documented change.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</si>
</sst>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%"/>
    <numFmt numFmtId="167" formatCode="0.0%"/>
    <numFmt numFmtId="168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12"/>
      <color rgb="FF40404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CC"/>
        <bgColor rgb="FFFFFFFF"/>
      </patternFill>
    </fill>
    <fill>
      <patternFill patternType="solid">
        <fgColor rgb="FFFCE4E4"/>
        <bgColor rgb="FFE2EFDA"/>
      </patternFill>
    </fill>
    <fill>
      <patternFill patternType="solid">
        <fgColor rgb="FFE2EFDA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C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46"/>
    <col collapsed="false" customWidth="true" hidden="false" outlineLevel="0" max="5" min="4" style="0" width="8"/>
    <col collapsed="false" customWidth="true" hidden="false" outlineLevel="0" max="6" min="6" style="0" width="16"/>
    <col collapsed="false" customWidth="true" hidden="false" outlineLevel="0" max="7" min="7" style="0" width="5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3" t="s">
        <v>13</v>
      </c>
      <c r="D2" s="4" t="n">
        <v>2</v>
      </c>
      <c r="E2" s="2" t="s">
        <v>14</v>
      </c>
      <c r="F2" s="5" t="s">
        <v>15</v>
      </c>
      <c r="G2" s="3" t="s">
        <v>16</v>
      </c>
      <c r="H2" s="2" t="s">
        <v>15</v>
      </c>
      <c r="I2" s="2" t="s">
        <v>17</v>
      </c>
      <c r="J2" s="6" t="s">
        <v>18</v>
      </c>
      <c r="K2" s="7" t="n">
        <v>0</v>
      </c>
    </row>
    <row r="3" customFormat="false" ht="15" hidden="false" customHeight="false" outlineLevel="0" collapsed="false">
      <c r="A3" s="2" t="s">
        <v>19</v>
      </c>
      <c r="B3" s="2" t="s">
        <v>12</v>
      </c>
      <c r="C3" s="3" t="s">
        <v>20</v>
      </c>
      <c r="D3" s="4" t="n">
        <v>2</v>
      </c>
      <c r="E3" s="2" t="s">
        <v>14</v>
      </c>
      <c r="F3" s="5" t="s">
        <v>11</v>
      </c>
      <c r="G3" s="3" t="s">
        <v>21</v>
      </c>
      <c r="H3" s="2" t="s">
        <v>15</v>
      </c>
      <c r="I3" s="2" t="s">
        <v>17</v>
      </c>
      <c r="J3" s="6" t="s">
        <v>18</v>
      </c>
      <c r="K3" s="7" t="n">
        <v>0</v>
      </c>
    </row>
    <row r="4" customFormat="false" ht="15" hidden="false" customHeight="false" outlineLevel="0" collapsed="false">
      <c r="A4" s="2" t="s">
        <v>22</v>
      </c>
      <c r="B4" s="2" t="s">
        <v>12</v>
      </c>
      <c r="C4" s="3" t="s">
        <v>23</v>
      </c>
      <c r="D4" s="4" t="n">
        <v>1</v>
      </c>
      <c r="E4" s="2" t="s">
        <v>14</v>
      </c>
      <c r="F4" s="5" t="s">
        <v>19</v>
      </c>
      <c r="G4" s="3" t="s">
        <v>24</v>
      </c>
      <c r="H4" s="2" t="s">
        <v>15</v>
      </c>
      <c r="I4" s="2" t="s">
        <v>17</v>
      </c>
      <c r="J4" s="6" t="s">
        <v>18</v>
      </c>
      <c r="K4" s="7" t="n">
        <v>0</v>
      </c>
    </row>
    <row r="5" customFormat="false" ht="15" hidden="false" customHeight="false" outlineLevel="0" collapsed="false">
      <c r="A5" s="2" t="s">
        <v>25</v>
      </c>
      <c r="B5" s="2" t="s">
        <v>12</v>
      </c>
      <c r="C5" s="3" t="s">
        <v>26</v>
      </c>
      <c r="D5" s="4" t="n">
        <v>2</v>
      </c>
      <c r="E5" s="2" t="s">
        <v>27</v>
      </c>
      <c r="F5" s="5" t="s">
        <v>22</v>
      </c>
      <c r="G5" s="3" t="s">
        <v>28</v>
      </c>
      <c r="H5" s="2" t="s">
        <v>15</v>
      </c>
      <c r="I5" s="2" t="s">
        <v>17</v>
      </c>
      <c r="J5" s="6" t="s">
        <v>18</v>
      </c>
      <c r="K5" s="7" t="n">
        <v>0</v>
      </c>
    </row>
    <row r="6" customFormat="false" ht="15" hidden="false" customHeight="false" outlineLevel="0" collapsed="false">
      <c r="A6" s="2" t="s">
        <v>29</v>
      </c>
      <c r="B6" s="2" t="s">
        <v>12</v>
      </c>
      <c r="C6" s="3" t="s">
        <v>30</v>
      </c>
      <c r="D6" s="4" t="n">
        <v>1</v>
      </c>
      <c r="E6" s="2" t="s">
        <v>31</v>
      </c>
      <c r="F6" s="5" t="s">
        <v>32</v>
      </c>
      <c r="G6" s="3" t="s">
        <v>33</v>
      </c>
      <c r="H6" s="2" t="s">
        <v>34</v>
      </c>
      <c r="I6" s="2" t="s">
        <v>17</v>
      </c>
      <c r="J6" s="6" t="s">
        <v>18</v>
      </c>
      <c r="K6" s="7" t="n">
        <v>0</v>
      </c>
    </row>
    <row r="7" customFormat="false" ht="15" hidden="false" customHeight="false" outlineLevel="0" collapsed="false">
      <c r="A7" s="2" t="s">
        <v>35</v>
      </c>
      <c r="B7" s="2" t="s">
        <v>12</v>
      </c>
      <c r="C7" s="3" t="s">
        <v>36</v>
      </c>
      <c r="D7" s="4" t="n">
        <v>1</v>
      </c>
      <c r="E7" s="2" t="s">
        <v>27</v>
      </c>
      <c r="F7" s="5" t="s">
        <v>15</v>
      </c>
      <c r="G7" s="3" t="s">
        <v>37</v>
      </c>
      <c r="H7" s="2" t="s">
        <v>15</v>
      </c>
      <c r="I7" s="2" t="s">
        <v>17</v>
      </c>
      <c r="J7" s="6" t="s">
        <v>18</v>
      </c>
      <c r="K7" s="7" t="n">
        <v>0</v>
      </c>
    </row>
    <row r="8" customFormat="false" ht="15" hidden="false" customHeight="false" outlineLevel="0" collapsed="false">
      <c r="A8" s="2" t="s">
        <v>38</v>
      </c>
      <c r="B8" s="2" t="s">
        <v>12</v>
      </c>
      <c r="C8" s="3" t="s">
        <v>39</v>
      </c>
      <c r="D8" s="4" t="n">
        <v>1</v>
      </c>
      <c r="E8" s="2" t="s">
        <v>14</v>
      </c>
      <c r="F8" s="5" t="s">
        <v>15</v>
      </c>
      <c r="G8" s="3" t="s">
        <v>40</v>
      </c>
      <c r="H8" s="2" t="s">
        <v>15</v>
      </c>
      <c r="I8" s="2" t="s">
        <v>17</v>
      </c>
      <c r="J8" s="6" t="s">
        <v>18</v>
      </c>
      <c r="K8" s="7" t="n">
        <v>0</v>
      </c>
    </row>
    <row r="9" customFormat="false" ht="15" hidden="false" customHeight="false" outlineLevel="0" collapsed="false">
      <c r="A9" s="2" t="s">
        <v>41</v>
      </c>
      <c r="B9" s="2" t="s">
        <v>12</v>
      </c>
      <c r="C9" s="3" t="s">
        <v>42</v>
      </c>
      <c r="D9" s="4" t="n">
        <v>0</v>
      </c>
      <c r="E9" s="2" t="s">
        <v>27</v>
      </c>
      <c r="F9" s="5" t="s">
        <v>38</v>
      </c>
      <c r="G9" s="3" t="s">
        <v>43</v>
      </c>
      <c r="H9" s="2" t="s">
        <v>15</v>
      </c>
      <c r="I9" s="2" t="s">
        <v>17</v>
      </c>
      <c r="J9" s="6" t="s">
        <v>18</v>
      </c>
      <c r="K9" s="7" t="n">
        <v>0</v>
      </c>
    </row>
    <row r="10" customFormat="false" ht="15" hidden="false" customHeight="false" outlineLevel="0" collapsed="false">
      <c r="A10" s="2" t="s">
        <v>44</v>
      </c>
      <c r="B10" s="2" t="s">
        <v>45</v>
      </c>
      <c r="C10" s="3" t="s">
        <v>46</v>
      </c>
      <c r="D10" s="4" t="n">
        <v>2</v>
      </c>
      <c r="E10" s="2" t="s">
        <v>31</v>
      </c>
      <c r="F10" s="5" t="s">
        <v>15</v>
      </c>
      <c r="G10" s="3" t="s">
        <v>47</v>
      </c>
      <c r="H10" s="2" t="s">
        <v>48</v>
      </c>
      <c r="I10" s="2" t="s">
        <v>17</v>
      </c>
      <c r="J10" s="6" t="s">
        <v>18</v>
      </c>
      <c r="K10" s="7" t="n">
        <v>0</v>
      </c>
    </row>
    <row r="11" customFormat="false" ht="15" hidden="false" customHeight="false" outlineLevel="0" collapsed="false">
      <c r="A11" s="2" t="s">
        <v>49</v>
      </c>
      <c r="B11" s="2" t="s">
        <v>45</v>
      </c>
      <c r="C11" s="3" t="s">
        <v>50</v>
      </c>
      <c r="D11" s="4" t="n">
        <v>1</v>
      </c>
      <c r="E11" s="2" t="s">
        <v>31</v>
      </c>
      <c r="F11" s="5" t="s">
        <v>44</v>
      </c>
      <c r="G11" s="3" t="s">
        <v>51</v>
      </c>
      <c r="H11" s="2" t="s">
        <v>48</v>
      </c>
      <c r="I11" s="2" t="s">
        <v>17</v>
      </c>
      <c r="J11" s="6" t="s">
        <v>18</v>
      </c>
      <c r="K11" s="7" t="n">
        <v>0</v>
      </c>
    </row>
    <row r="12" customFormat="false" ht="15" hidden="false" customHeight="false" outlineLevel="0" collapsed="false">
      <c r="A12" s="2" t="s">
        <v>52</v>
      </c>
      <c r="B12" s="2" t="s">
        <v>45</v>
      </c>
      <c r="C12" s="3" t="s">
        <v>53</v>
      </c>
      <c r="D12" s="4" t="n">
        <v>4</v>
      </c>
      <c r="E12" s="2" t="s">
        <v>31</v>
      </c>
      <c r="F12" s="5" t="s">
        <v>44</v>
      </c>
      <c r="G12" s="3" t="s">
        <v>54</v>
      </c>
      <c r="H12" s="2" t="s">
        <v>55</v>
      </c>
      <c r="I12" s="8" t="s">
        <v>56</v>
      </c>
      <c r="J12" s="6" t="s">
        <v>18</v>
      </c>
      <c r="K12" s="7" t="n">
        <v>0</v>
      </c>
    </row>
    <row r="13" customFormat="false" ht="15" hidden="false" customHeight="false" outlineLevel="0" collapsed="false">
      <c r="A13" s="2" t="s">
        <v>57</v>
      </c>
      <c r="B13" s="2" t="s">
        <v>45</v>
      </c>
      <c r="C13" s="3" t="s">
        <v>58</v>
      </c>
      <c r="D13" s="4" t="n">
        <v>2</v>
      </c>
      <c r="E13" s="2" t="s">
        <v>31</v>
      </c>
      <c r="F13" s="5" t="s">
        <v>52</v>
      </c>
      <c r="G13" s="3" t="s">
        <v>59</v>
      </c>
      <c r="H13" s="2" t="s">
        <v>60</v>
      </c>
      <c r="I13" s="2" t="s">
        <v>17</v>
      </c>
      <c r="J13" s="6" t="s">
        <v>18</v>
      </c>
      <c r="K13" s="7" t="n">
        <v>0</v>
      </c>
    </row>
    <row r="14" customFormat="false" ht="15" hidden="false" customHeight="false" outlineLevel="0" collapsed="false">
      <c r="A14" s="2" t="s">
        <v>61</v>
      </c>
      <c r="B14" s="2" t="s">
        <v>45</v>
      </c>
      <c r="C14" s="3" t="s">
        <v>62</v>
      </c>
      <c r="D14" s="4" t="n">
        <v>6</v>
      </c>
      <c r="E14" s="2" t="s">
        <v>31</v>
      </c>
      <c r="F14" s="5" t="s">
        <v>63</v>
      </c>
      <c r="G14" s="3" t="s">
        <v>64</v>
      </c>
      <c r="H14" s="2" t="s">
        <v>65</v>
      </c>
      <c r="I14" s="8" t="s">
        <v>56</v>
      </c>
      <c r="J14" s="6" t="s">
        <v>18</v>
      </c>
      <c r="K14" s="7" t="n">
        <v>0</v>
      </c>
    </row>
    <row r="15" customFormat="false" ht="15" hidden="false" customHeight="false" outlineLevel="0" collapsed="false">
      <c r="A15" s="2" t="s">
        <v>66</v>
      </c>
      <c r="B15" s="2" t="s">
        <v>45</v>
      </c>
      <c r="C15" s="3" t="s">
        <v>67</v>
      </c>
      <c r="D15" s="4" t="n">
        <v>5</v>
      </c>
      <c r="E15" s="2" t="s">
        <v>31</v>
      </c>
      <c r="F15" s="5" t="s">
        <v>61</v>
      </c>
      <c r="G15" s="3" t="s">
        <v>68</v>
      </c>
      <c r="H15" s="2" t="s">
        <v>69</v>
      </c>
      <c r="I15" s="2" t="s">
        <v>17</v>
      </c>
      <c r="J15" s="6" t="s">
        <v>18</v>
      </c>
      <c r="K15" s="7" t="n">
        <v>0</v>
      </c>
    </row>
    <row r="16" customFormat="false" ht="15" hidden="false" customHeight="false" outlineLevel="0" collapsed="false">
      <c r="A16" s="2" t="s">
        <v>70</v>
      </c>
      <c r="B16" s="2" t="s">
        <v>45</v>
      </c>
      <c r="C16" s="3" t="s">
        <v>71</v>
      </c>
      <c r="D16" s="4" t="n">
        <v>2</v>
      </c>
      <c r="E16" s="2" t="s">
        <v>31</v>
      </c>
      <c r="F16" s="5" t="s">
        <v>44</v>
      </c>
      <c r="G16" s="3" t="s">
        <v>72</v>
      </c>
      <c r="H16" s="2" t="s">
        <v>65</v>
      </c>
      <c r="I16" s="8" t="s">
        <v>56</v>
      </c>
      <c r="J16" s="6" t="s">
        <v>18</v>
      </c>
      <c r="K16" s="7" t="n">
        <v>0</v>
      </c>
    </row>
    <row r="17" customFormat="false" ht="15" hidden="false" customHeight="false" outlineLevel="0" collapsed="false">
      <c r="A17" s="2" t="s">
        <v>73</v>
      </c>
      <c r="B17" s="2" t="s">
        <v>45</v>
      </c>
      <c r="C17" s="3" t="s">
        <v>74</v>
      </c>
      <c r="D17" s="4" t="n">
        <v>0.5</v>
      </c>
      <c r="E17" s="2" t="s">
        <v>31</v>
      </c>
      <c r="F17" s="5" t="s">
        <v>61</v>
      </c>
      <c r="G17" s="3" t="s">
        <v>75</v>
      </c>
      <c r="H17" s="2" t="s">
        <v>76</v>
      </c>
      <c r="I17" s="2" t="s">
        <v>17</v>
      </c>
      <c r="J17" s="6" t="s">
        <v>18</v>
      </c>
      <c r="K17" s="7" t="n">
        <v>0</v>
      </c>
    </row>
    <row r="18" customFormat="false" ht="15" hidden="false" customHeight="false" outlineLevel="0" collapsed="false">
      <c r="A18" s="2" t="s">
        <v>77</v>
      </c>
      <c r="B18" s="2" t="s">
        <v>45</v>
      </c>
      <c r="C18" s="3" t="s">
        <v>78</v>
      </c>
      <c r="D18" s="4" t="n">
        <v>1</v>
      </c>
      <c r="E18" s="2" t="s">
        <v>79</v>
      </c>
      <c r="F18" s="5" t="s">
        <v>66</v>
      </c>
      <c r="G18" s="3" t="s">
        <v>80</v>
      </c>
      <c r="H18" s="2" t="s">
        <v>81</v>
      </c>
      <c r="I18" s="8" t="s">
        <v>56</v>
      </c>
      <c r="J18" s="6" t="s">
        <v>18</v>
      </c>
      <c r="K18" s="7" t="n">
        <v>0</v>
      </c>
    </row>
    <row r="19" customFormat="false" ht="15" hidden="false" customHeight="false" outlineLevel="0" collapsed="false">
      <c r="A19" s="2" t="s">
        <v>82</v>
      </c>
      <c r="B19" s="2" t="s">
        <v>45</v>
      </c>
      <c r="C19" s="3" t="s">
        <v>83</v>
      </c>
      <c r="D19" s="4" t="n">
        <v>2.5</v>
      </c>
      <c r="E19" s="2" t="s">
        <v>79</v>
      </c>
      <c r="F19" s="5" t="s">
        <v>77</v>
      </c>
      <c r="G19" s="3" t="s">
        <v>84</v>
      </c>
      <c r="H19" s="2" t="s">
        <v>81</v>
      </c>
      <c r="I19" s="8" t="s">
        <v>56</v>
      </c>
      <c r="J19" s="6" t="s">
        <v>18</v>
      </c>
      <c r="K19" s="7" t="n">
        <v>0</v>
      </c>
    </row>
    <row r="20" customFormat="false" ht="15" hidden="false" customHeight="false" outlineLevel="0" collapsed="false">
      <c r="A20" s="2" t="s">
        <v>85</v>
      </c>
      <c r="B20" s="2" t="s">
        <v>45</v>
      </c>
      <c r="C20" s="3" t="s">
        <v>86</v>
      </c>
      <c r="D20" s="4" t="n">
        <v>1</v>
      </c>
      <c r="E20" s="2" t="s">
        <v>31</v>
      </c>
      <c r="F20" s="5" t="s">
        <v>61</v>
      </c>
      <c r="G20" s="3" t="s">
        <v>87</v>
      </c>
      <c r="H20" s="2" t="s">
        <v>65</v>
      </c>
      <c r="I20" s="8" t="s">
        <v>56</v>
      </c>
      <c r="J20" s="6" t="s">
        <v>18</v>
      </c>
      <c r="K20" s="7" t="n">
        <v>0</v>
      </c>
    </row>
    <row r="21" customFormat="false" ht="15" hidden="false" customHeight="false" outlineLevel="0" collapsed="false">
      <c r="A21" s="2" t="s">
        <v>88</v>
      </c>
      <c r="B21" s="2" t="s">
        <v>45</v>
      </c>
      <c r="C21" s="3" t="s">
        <v>89</v>
      </c>
      <c r="D21" s="4" t="n">
        <v>0</v>
      </c>
      <c r="E21" s="2" t="s">
        <v>31</v>
      </c>
      <c r="F21" s="5" t="s">
        <v>85</v>
      </c>
      <c r="G21" s="3" t="s">
        <v>90</v>
      </c>
      <c r="H21" s="2" t="s">
        <v>65</v>
      </c>
      <c r="I21" s="2" t="s">
        <v>17</v>
      </c>
      <c r="J21" s="6" t="s">
        <v>18</v>
      </c>
      <c r="K21" s="7" t="n">
        <v>0</v>
      </c>
    </row>
    <row r="22" customFormat="false" ht="15" hidden="false" customHeight="false" outlineLevel="0" collapsed="false">
      <c r="A22" s="2" t="s">
        <v>32</v>
      </c>
      <c r="B22" s="2" t="s">
        <v>91</v>
      </c>
      <c r="C22" s="3" t="s">
        <v>92</v>
      </c>
      <c r="D22" s="4" t="n">
        <v>1.5</v>
      </c>
      <c r="E22" s="2" t="s">
        <v>31</v>
      </c>
      <c r="F22" s="5" t="s">
        <v>15</v>
      </c>
      <c r="G22" s="3" t="s">
        <v>93</v>
      </c>
      <c r="H22" s="2" t="s">
        <v>34</v>
      </c>
      <c r="I22" s="2" t="s">
        <v>17</v>
      </c>
      <c r="J22" s="6" t="s">
        <v>18</v>
      </c>
      <c r="K22" s="7" t="n">
        <v>0</v>
      </c>
    </row>
    <row r="23" customFormat="false" ht="15" hidden="false" customHeight="false" outlineLevel="0" collapsed="false">
      <c r="A23" s="2" t="s">
        <v>94</v>
      </c>
      <c r="B23" s="2" t="s">
        <v>91</v>
      </c>
      <c r="C23" s="3" t="s">
        <v>95</v>
      </c>
      <c r="D23" s="4" t="n">
        <v>1</v>
      </c>
      <c r="E23" s="2" t="s">
        <v>96</v>
      </c>
      <c r="F23" s="5" t="s">
        <v>97</v>
      </c>
      <c r="G23" s="3" t="s">
        <v>98</v>
      </c>
      <c r="H23" s="2" t="s">
        <v>99</v>
      </c>
      <c r="I23" s="2" t="s">
        <v>17</v>
      </c>
      <c r="J23" s="6" t="s">
        <v>18</v>
      </c>
      <c r="K23" s="7" t="n">
        <v>0</v>
      </c>
    </row>
    <row r="24" customFormat="false" ht="15" hidden="false" customHeight="false" outlineLevel="0" collapsed="false">
      <c r="A24" s="2" t="s">
        <v>100</v>
      </c>
      <c r="B24" s="2" t="s">
        <v>91</v>
      </c>
      <c r="C24" s="3" t="s">
        <v>101</v>
      </c>
      <c r="D24" s="4" t="n">
        <v>2.5</v>
      </c>
      <c r="E24" s="2" t="s">
        <v>79</v>
      </c>
      <c r="F24" s="5" t="s">
        <v>15</v>
      </c>
      <c r="G24" s="3" t="s">
        <v>102</v>
      </c>
      <c r="H24" s="2" t="s">
        <v>103</v>
      </c>
      <c r="I24" s="2" t="s">
        <v>17</v>
      </c>
      <c r="J24" s="6" t="s">
        <v>18</v>
      </c>
      <c r="K24" s="7" t="n">
        <v>0</v>
      </c>
    </row>
    <row r="25" customFormat="false" ht="15" hidden="false" customHeight="false" outlineLevel="0" collapsed="false">
      <c r="A25" s="2" t="s">
        <v>104</v>
      </c>
      <c r="B25" s="2" t="s">
        <v>91</v>
      </c>
      <c r="C25" s="3" t="s">
        <v>105</v>
      </c>
      <c r="D25" s="4" t="n">
        <v>5</v>
      </c>
      <c r="E25" s="2" t="s">
        <v>79</v>
      </c>
      <c r="F25" s="5" t="s">
        <v>100</v>
      </c>
      <c r="G25" s="3" t="s">
        <v>106</v>
      </c>
      <c r="H25" s="2" t="s">
        <v>103</v>
      </c>
      <c r="I25" s="2" t="s">
        <v>17</v>
      </c>
      <c r="J25" s="6" t="s">
        <v>18</v>
      </c>
      <c r="K25" s="7" t="n">
        <v>0</v>
      </c>
    </row>
    <row r="26" customFormat="false" ht="15" hidden="false" customHeight="false" outlineLevel="0" collapsed="false">
      <c r="A26" s="2" t="s">
        <v>107</v>
      </c>
      <c r="B26" s="2" t="s">
        <v>91</v>
      </c>
      <c r="C26" s="3" t="s">
        <v>108</v>
      </c>
      <c r="D26" s="4" t="n">
        <v>1</v>
      </c>
      <c r="E26" s="2" t="s">
        <v>79</v>
      </c>
      <c r="F26" s="5" t="s">
        <v>104</v>
      </c>
      <c r="G26" s="3" t="s">
        <v>109</v>
      </c>
      <c r="H26" s="2" t="s">
        <v>103</v>
      </c>
      <c r="I26" s="2" t="s">
        <v>17</v>
      </c>
      <c r="J26" s="6" t="s">
        <v>18</v>
      </c>
      <c r="K26" s="7" t="n">
        <v>0</v>
      </c>
    </row>
    <row r="27" customFormat="false" ht="15" hidden="false" customHeight="false" outlineLevel="0" collapsed="false">
      <c r="A27" s="2" t="s">
        <v>110</v>
      </c>
      <c r="B27" s="2" t="s">
        <v>91</v>
      </c>
      <c r="C27" s="3" t="s">
        <v>111</v>
      </c>
      <c r="D27" s="4" t="n">
        <v>1</v>
      </c>
      <c r="E27" s="2" t="s">
        <v>96</v>
      </c>
      <c r="F27" s="5" t="s">
        <v>104</v>
      </c>
      <c r="G27" s="3" t="s">
        <v>112</v>
      </c>
      <c r="H27" s="2" t="s">
        <v>103</v>
      </c>
      <c r="I27" s="2" t="s">
        <v>17</v>
      </c>
      <c r="J27" s="6" t="s">
        <v>18</v>
      </c>
      <c r="K27" s="7" t="n">
        <v>0</v>
      </c>
    </row>
    <row r="28" customFormat="false" ht="15" hidden="false" customHeight="false" outlineLevel="0" collapsed="false">
      <c r="A28" s="2" t="s">
        <v>113</v>
      </c>
      <c r="B28" s="2" t="s">
        <v>114</v>
      </c>
      <c r="C28" s="3" t="s">
        <v>115</v>
      </c>
      <c r="D28" s="4" t="n">
        <v>4</v>
      </c>
      <c r="E28" s="2" t="s">
        <v>31</v>
      </c>
      <c r="F28" s="5" t="s">
        <v>44</v>
      </c>
      <c r="G28" s="3" t="s">
        <v>116</v>
      </c>
      <c r="H28" s="2" t="s">
        <v>117</v>
      </c>
      <c r="I28" s="2" t="s">
        <v>17</v>
      </c>
      <c r="J28" s="6" t="s">
        <v>18</v>
      </c>
      <c r="K28" s="7" t="n">
        <v>0</v>
      </c>
    </row>
    <row r="29" customFormat="false" ht="15" hidden="false" customHeight="false" outlineLevel="0" collapsed="false">
      <c r="A29" s="2" t="s">
        <v>118</v>
      </c>
      <c r="B29" s="2" t="s">
        <v>114</v>
      </c>
      <c r="C29" s="3" t="s">
        <v>119</v>
      </c>
      <c r="D29" s="4" t="n">
        <v>5</v>
      </c>
      <c r="E29" s="2" t="s">
        <v>79</v>
      </c>
      <c r="F29" s="5" t="s">
        <v>113</v>
      </c>
      <c r="G29" s="3" t="s">
        <v>120</v>
      </c>
      <c r="H29" s="2" t="s">
        <v>121</v>
      </c>
      <c r="I29" s="2" t="s">
        <v>17</v>
      </c>
      <c r="J29" s="6" t="s">
        <v>18</v>
      </c>
      <c r="K29" s="7" t="n">
        <v>0</v>
      </c>
    </row>
    <row r="30" customFormat="false" ht="15" hidden="false" customHeight="false" outlineLevel="0" collapsed="false">
      <c r="A30" s="2" t="s">
        <v>97</v>
      </c>
      <c r="B30" s="2" t="s">
        <v>114</v>
      </c>
      <c r="C30" s="3" t="s">
        <v>122</v>
      </c>
      <c r="D30" s="4" t="n">
        <v>5</v>
      </c>
      <c r="E30" s="2" t="s">
        <v>79</v>
      </c>
      <c r="F30" s="5" t="s">
        <v>123</v>
      </c>
      <c r="G30" s="3" t="s">
        <v>124</v>
      </c>
      <c r="H30" s="2" t="s">
        <v>125</v>
      </c>
      <c r="I30" s="8" t="s">
        <v>56</v>
      </c>
      <c r="J30" s="6" t="s">
        <v>18</v>
      </c>
      <c r="K30" s="7" t="n">
        <v>0</v>
      </c>
    </row>
    <row r="31" customFormat="false" ht="15" hidden="false" customHeight="false" outlineLevel="0" collapsed="false">
      <c r="A31" s="2" t="s">
        <v>126</v>
      </c>
      <c r="B31" s="2" t="s">
        <v>114</v>
      </c>
      <c r="C31" s="3" t="s">
        <v>127</v>
      </c>
      <c r="D31" s="4" t="n">
        <v>2</v>
      </c>
      <c r="E31" s="2" t="s">
        <v>79</v>
      </c>
      <c r="F31" s="5" t="s">
        <v>97</v>
      </c>
      <c r="G31" s="3" t="s">
        <v>128</v>
      </c>
      <c r="H31" s="2" t="s">
        <v>125</v>
      </c>
      <c r="I31" s="2" t="s">
        <v>17</v>
      </c>
      <c r="J31" s="6" t="s">
        <v>18</v>
      </c>
      <c r="K31" s="7" t="n">
        <v>0</v>
      </c>
    </row>
    <row r="32" customFormat="false" ht="15" hidden="false" customHeight="false" outlineLevel="0" collapsed="false">
      <c r="A32" s="2" t="s">
        <v>129</v>
      </c>
      <c r="B32" s="2" t="s">
        <v>114</v>
      </c>
      <c r="C32" s="3" t="s">
        <v>130</v>
      </c>
      <c r="D32" s="4" t="n">
        <v>2</v>
      </c>
      <c r="E32" s="2" t="s">
        <v>79</v>
      </c>
      <c r="F32" s="5" t="s">
        <v>97</v>
      </c>
      <c r="G32" s="3" t="s">
        <v>131</v>
      </c>
      <c r="H32" s="2" t="s">
        <v>125</v>
      </c>
      <c r="I32" s="2" t="s">
        <v>17</v>
      </c>
      <c r="J32" s="6" t="s">
        <v>18</v>
      </c>
      <c r="K32" s="7" t="n">
        <v>0</v>
      </c>
    </row>
    <row r="33" customFormat="false" ht="15" hidden="false" customHeight="false" outlineLevel="0" collapsed="false">
      <c r="A33" s="2" t="s">
        <v>132</v>
      </c>
      <c r="B33" s="2" t="s">
        <v>114</v>
      </c>
      <c r="C33" s="3" t="s">
        <v>133</v>
      </c>
      <c r="D33" s="4" t="n">
        <v>4</v>
      </c>
      <c r="E33" s="2" t="s">
        <v>79</v>
      </c>
      <c r="F33" s="5" t="s">
        <v>97</v>
      </c>
      <c r="G33" s="3" t="s">
        <v>134</v>
      </c>
      <c r="H33" s="2" t="s">
        <v>135</v>
      </c>
      <c r="I33" s="8" t="s">
        <v>56</v>
      </c>
      <c r="J33" s="6" t="s">
        <v>18</v>
      </c>
      <c r="K33" s="7" t="n">
        <v>0</v>
      </c>
    </row>
    <row r="34" customFormat="false" ht="15" hidden="false" customHeight="false" outlineLevel="0" collapsed="false">
      <c r="A34" s="2" t="s">
        <v>136</v>
      </c>
      <c r="B34" s="2" t="s">
        <v>114</v>
      </c>
      <c r="C34" s="3" t="s">
        <v>137</v>
      </c>
      <c r="D34" s="4" t="n">
        <v>1.5</v>
      </c>
      <c r="E34" s="2" t="s">
        <v>96</v>
      </c>
      <c r="F34" s="5" t="s">
        <v>138</v>
      </c>
      <c r="G34" s="3" t="s">
        <v>139</v>
      </c>
      <c r="H34" s="2" t="s">
        <v>140</v>
      </c>
      <c r="I34" s="8" t="s">
        <v>56</v>
      </c>
      <c r="J34" s="6" t="s">
        <v>18</v>
      </c>
      <c r="K34" s="7" t="n">
        <v>0</v>
      </c>
    </row>
    <row r="35" customFormat="false" ht="15" hidden="false" customHeight="false" outlineLevel="0" collapsed="false">
      <c r="A35" s="2" t="s">
        <v>141</v>
      </c>
      <c r="B35" s="2" t="s">
        <v>114</v>
      </c>
      <c r="C35" s="3" t="s">
        <v>142</v>
      </c>
      <c r="D35" s="4" t="n">
        <v>1.5</v>
      </c>
      <c r="E35" s="2" t="s">
        <v>96</v>
      </c>
      <c r="F35" s="5" t="s">
        <v>136</v>
      </c>
      <c r="G35" s="3" t="s">
        <v>143</v>
      </c>
      <c r="H35" s="2" t="s">
        <v>140</v>
      </c>
      <c r="I35" s="8" t="s">
        <v>56</v>
      </c>
      <c r="J35" s="6" t="s">
        <v>18</v>
      </c>
      <c r="K35" s="7" t="n">
        <v>0</v>
      </c>
    </row>
    <row r="36" customFormat="false" ht="15" hidden="false" customHeight="false" outlineLevel="0" collapsed="false">
      <c r="A36" s="2" t="s">
        <v>144</v>
      </c>
      <c r="B36" s="2" t="s">
        <v>145</v>
      </c>
      <c r="C36" s="3" t="s">
        <v>146</v>
      </c>
      <c r="D36" s="4" t="n">
        <v>2</v>
      </c>
      <c r="E36" s="2" t="s">
        <v>96</v>
      </c>
      <c r="F36" s="5" t="s">
        <v>15</v>
      </c>
      <c r="G36" s="3" t="s">
        <v>147</v>
      </c>
      <c r="H36" s="2" t="s">
        <v>148</v>
      </c>
      <c r="I36" s="2" t="s">
        <v>17</v>
      </c>
      <c r="J36" s="6" t="s">
        <v>18</v>
      </c>
      <c r="K36" s="7" t="n">
        <v>0</v>
      </c>
    </row>
    <row r="37" customFormat="false" ht="15" hidden="false" customHeight="false" outlineLevel="0" collapsed="false">
      <c r="A37" s="2" t="s">
        <v>149</v>
      </c>
      <c r="B37" s="2" t="s">
        <v>145</v>
      </c>
      <c r="C37" s="3" t="s">
        <v>150</v>
      </c>
      <c r="D37" s="4" t="n">
        <v>3</v>
      </c>
      <c r="E37" s="2" t="s">
        <v>96</v>
      </c>
      <c r="F37" s="5" t="s">
        <v>151</v>
      </c>
      <c r="G37" s="3" t="s">
        <v>152</v>
      </c>
      <c r="H37" s="2" t="s">
        <v>148</v>
      </c>
      <c r="I37" s="2" t="s">
        <v>17</v>
      </c>
      <c r="J37" s="6" t="s">
        <v>18</v>
      </c>
      <c r="K37" s="7" t="n">
        <v>0</v>
      </c>
    </row>
    <row r="38" customFormat="false" ht="15" hidden="false" customHeight="false" outlineLevel="0" collapsed="false">
      <c r="A38" s="2" t="s">
        <v>153</v>
      </c>
      <c r="B38" s="2" t="s">
        <v>145</v>
      </c>
      <c r="C38" s="3" t="s">
        <v>154</v>
      </c>
      <c r="D38" s="4" t="n">
        <v>3</v>
      </c>
      <c r="E38" s="2" t="s">
        <v>96</v>
      </c>
      <c r="F38" s="5" t="s">
        <v>132</v>
      </c>
      <c r="G38" s="3" t="s">
        <v>155</v>
      </c>
      <c r="H38" s="2" t="s">
        <v>99</v>
      </c>
      <c r="I38" s="2" t="s">
        <v>17</v>
      </c>
      <c r="J38" s="6" t="s">
        <v>18</v>
      </c>
      <c r="K38" s="7" t="n">
        <v>0</v>
      </c>
    </row>
    <row r="39" customFormat="false" ht="15" hidden="false" customHeight="false" outlineLevel="0" collapsed="false">
      <c r="A39" s="2" t="s">
        <v>156</v>
      </c>
      <c r="B39" s="2" t="s">
        <v>145</v>
      </c>
      <c r="C39" s="3" t="s">
        <v>157</v>
      </c>
      <c r="D39" s="4" t="n">
        <v>3</v>
      </c>
      <c r="E39" s="2" t="s">
        <v>96</v>
      </c>
      <c r="F39" s="5" t="s">
        <v>149</v>
      </c>
      <c r="G39" s="3" t="s">
        <v>158</v>
      </c>
      <c r="H39" s="2" t="s">
        <v>99</v>
      </c>
      <c r="I39" s="2" t="s">
        <v>17</v>
      </c>
      <c r="J39" s="6" t="s">
        <v>18</v>
      </c>
      <c r="K39" s="7" t="n">
        <v>0</v>
      </c>
    </row>
    <row r="40" customFormat="false" ht="15" hidden="false" customHeight="false" outlineLevel="0" collapsed="false">
      <c r="A40" s="2" t="s">
        <v>159</v>
      </c>
      <c r="B40" s="2" t="s">
        <v>145</v>
      </c>
      <c r="C40" s="3" t="s">
        <v>160</v>
      </c>
      <c r="D40" s="4" t="n">
        <v>2</v>
      </c>
      <c r="E40" s="2" t="s">
        <v>96</v>
      </c>
      <c r="F40" s="5" t="s">
        <v>141</v>
      </c>
      <c r="G40" s="3" t="s">
        <v>161</v>
      </c>
      <c r="H40" s="2" t="s">
        <v>99</v>
      </c>
      <c r="I40" s="2" t="s">
        <v>17</v>
      </c>
      <c r="J40" s="6" t="s">
        <v>18</v>
      </c>
      <c r="K40" s="7" t="n">
        <v>0</v>
      </c>
    </row>
    <row r="41" customFormat="false" ht="15" hidden="false" customHeight="false" outlineLevel="0" collapsed="false">
      <c r="A41" s="2" t="s">
        <v>162</v>
      </c>
      <c r="B41" s="2" t="s">
        <v>145</v>
      </c>
      <c r="C41" s="3" t="s">
        <v>163</v>
      </c>
      <c r="D41" s="4" t="n">
        <v>2</v>
      </c>
      <c r="E41" s="2" t="s">
        <v>96</v>
      </c>
      <c r="F41" s="5" t="s">
        <v>153</v>
      </c>
      <c r="G41" s="3" t="s">
        <v>164</v>
      </c>
      <c r="H41" s="2" t="s">
        <v>99</v>
      </c>
      <c r="I41" s="2" t="s">
        <v>17</v>
      </c>
      <c r="J41" s="6" t="s">
        <v>18</v>
      </c>
      <c r="K41" s="7" t="n">
        <v>0</v>
      </c>
    </row>
    <row r="42" customFormat="false" ht="15" hidden="false" customHeight="false" outlineLevel="0" collapsed="false">
      <c r="A42" s="2" t="s">
        <v>165</v>
      </c>
      <c r="B42" s="2" t="s">
        <v>166</v>
      </c>
      <c r="C42" s="3" t="s">
        <v>167</v>
      </c>
      <c r="D42" s="4" t="n">
        <v>4</v>
      </c>
      <c r="E42" s="2" t="s">
        <v>168</v>
      </c>
      <c r="F42" s="5" t="s">
        <v>169</v>
      </c>
      <c r="G42" s="3" t="s">
        <v>170</v>
      </c>
      <c r="H42" s="2" t="s">
        <v>171</v>
      </c>
      <c r="I42" s="2" t="s">
        <v>17</v>
      </c>
      <c r="J42" s="6" t="s">
        <v>18</v>
      </c>
      <c r="K42" s="7" t="n">
        <v>0</v>
      </c>
    </row>
    <row r="43" customFormat="false" ht="15" hidden="false" customHeight="false" outlineLevel="0" collapsed="false">
      <c r="A43" s="2" t="s">
        <v>172</v>
      </c>
      <c r="B43" s="2" t="s">
        <v>166</v>
      </c>
      <c r="C43" s="3" t="s">
        <v>173</v>
      </c>
      <c r="D43" s="4" t="n">
        <v>2</v>
      </c>
      <c r="E43" s="2" t="s">
        <v>168</v>
      </c>
      <c r="F43" s="5" t="s">
        <v>165</v>
      </c>
      <c r="G43" s="3" t="s">
        <v>174</v>
      </c>
      <c r="H43" s="2" t="s">
        <v>171</v>
      </c>
      <c r="I43" s="8" t="s">
        <v>56</v>
      </c>
      <c r="J43" s="6" t="s">
        <v>18</v>
      </c>
      <c r="K43" s="7" t="n">
        <v>0</v>
      </c>
    </row>
    <row r="44" customFormat="false" ht="15" hidden="false" customHeight="false" outlineLevel="0" collapsed="false">
      <c r="A44" s="2" t="s">
        <v>175</v>
      </c>
      <c r="B44" s="2" t="s">
        <v>166</v>
      </c>
      <c r="C44" s="3" t="s">
        <v>176</v>
      </c>
      <c r="D44" s="4" t="n">
        <v>1</v>
      </c>
      <c r="E44" s="2" t="s">
        <v>168</v>
      </c>
      <c r="F44" s="5" t="s">
        <v>172</v>
      </c>
      <c r="G44" s="3" t="s">
        <v>177</v>
      </c>
      <c r="H44" s="2" t="s">
        <v>178</v>
      </c>
      <c r="I44" s="2" t="s">
        <v>17</v>
      </c>
      <c r="J44" s="6" t="s">
        <v>18</v>
      </c>
      <c r="K44" s="7" t="n">
        <v>0</v>
      </c>
    </row>
    <row r="45" customFormat="false" ht="15" hidden="false" customHeight="false" outlineLevel="0" collapsed="false">
      <c r="A45" s="2" t="s">
        <v>179</v>
      </c>
      <c r="B45" s="2" t="s">
        <v>166</v>
      </c>
      <c r="C45" s="3" t="s">
        <v>180</v>
      </c>
      <c r="D45" s="4" t="n">
        <v>5</v>
      </c>
      <c r="E45" s="2" t="s">
        <v>168</v>
      </c>
      <c r="F45" s="5" t="s">
        <v>175</v>
      </c>
      <c r="G45" s="3" t="s">
        <v>181</v>
      </c>
      <c r="H45" s="2" t="s">
        <v>178</v>
      </c>
      <c r="I45" s="2" t="s">
        <v>17</v>
      </c>
      <c r="J45" s="6" t="s">
        <v>18</v>
      </c>
      <c r="K45" s="7" t="n">
        <v>0</v>
      </c>
    </row>
    <row r="46" customFormat="false" ht="15" hidden="false" customHeight="false" outlineLevel="0" collapsed="false">
      <c r="A46" s="2" t="s">
        <v>182</v>
      </c>
      <c r="B46" s="2" t="s">
        <v>166</v>
      </c>
      <c r="C46" s="3" t="s">
        <v>183</v>
      </c>
      <c r="D46" s="4" t="n">
        <v>4</v>
      </c>
      <c r="E46" s="2" t="s">
        <v>168</v>
      </c>
      <c r="F46" s="5" t="s">
        <v>179</v>
      </c>
      <c r="G46" s="3" t="s">
        <v>184</v>
      </c>
      <c r="H46" s="2" t="s">
        <v>178</v>
      </c>
      <c r="I46" s="2" t="s">
        <v>17</v>
      </c>
      <c r="J46" s="6" t="s">
        <v>18</v>
      </c>
      <c r="K46" s="7" t="n">
        <v>0</v>
      </c>
    </row>
    <row r="47" customFormat="false" ht="15" hidden="false" customHeight="false" outlineLevel="0" collapsed="false">
      <c r="A47" s="2" t="s">
        <v>185</v>
      </c>
      <c r="B47" s="2" t="s">
        <v>166</v>
      </c>
      <c r="C47" s="3" t="s">
        <v>186</v>
      </c>
      <c r="D47" s="4" t="n">
        <v>1</v>
      </c>
      <c r="E47" s="2" t="s">
        <v>168</v>
      </c>
      <c r="F47" s="5" t="s">
        <v>182</v>
      </c>
      <c r="G47" s="3" t="s">
        <v>187</v>
      </c>
      <c r="H47" s="2" t="s">
        <v>178</v>
      </c>
      <c r="I47" s="8" t="s">
        <v>56</v>
      </c>
      <c r="J47" s="6" t="s">
        <v>18</v>
      </c>
      <c r="K47" s="7" t="n">
        <v>0</v>
      </c>
    </row>
    <row r="48" customFormat="false" ht="15" hidden="false" customHeight="false" outlineLevel="0" collapsed="false">
      <c r="A48" s="2" t="s">
        <v>188</v>
      </c>
      <c r="B48" s="2" t="s">
        <v>166</v>
      </c>
      <c r="C48" s="3" t="s">
        <v>189</v>
      </c>
      <c r="D48" s="4" t="n">
        <v>3</v>
      </c>
      <c r="E48" s="2" t="s">
        <v>190</v>
      </c>
      <c r="F48" s="5" t="s">
        <v>191</v>
      </c>
      <c r="G48" s="3" t="s">
        <v>192</v>
      </c>
      <c r="H48" s="2" t="s">
        <v>193</v>
      </c>
      <c r="I48" s="8" t="s">
        <v>56</v>
      </c>
      <c r="J48" s="6" t="s">
        <v>18</v>
      </c>
      <c r="K48" s="7" t="n">
        <v>0</v>
      </c>
    </row>
    <row r="49" customFormat="false" ht="15" hidden="false" customHeight="false" outlineLevel="0" collapsed="false">
      <c r="A49" s="2" t="s">
        <v>194</v>
      </c>
      <c r="B49" s="2" t="s">
        <v>166</v>
      </c>
      <c r="C49" s="3" t="s">
        <v>195</v>
      </c>
      <c r="D49" s="4" t="n">
        <v>2</v>
      </c>
      <c r="E49" s="2" t="s">
        <v>190</v>
      </c>
      <c r="F49" s="5" t="s">
        <v>188</v>
      </c>
      <c r="G49" s="3" t="s">
        <v>196</v>
      </c>
      <c r="H49" s="2" t="s">
        <v>193</v>
      </c>
      <c r="I49" s="8" t="s">
        <v>56</v>
      </c>
      <c r="J49" s="6" t="s">
        <v>18</v>
      </c>
      <c r="K49" s="7" t="n">
        <v>0</v>
      </c>
    </row>
    <row r="50" customFormat="false" ht="15" hidden="false" customHeight="false" outlineLevel="0" collapsed="false">
      <c r="A50" s="2" t="s">
        <v>197</v>
      </c>
      <c r="B50" s="2" t="s">
        <v>166</v>
      </c>
      <c r="C50" s="3" t="s">
        <v>198</v>
      </c>
      <c r="D50" s="4" t="n">
        <v>2</v>
      </c>
      <c r="E50" s="2" t="s">
        <v>190</v>
      </c>
      <c r="F50" s="5" t="s">
        <v>194</v>
      </c>
      <c r="G50" s="3" t="s">
        <v>199</v>
      </c>
      <c r="H50" s="2" t="s">
        <v>193</v>
      </c>
      <c r="I50" s="2" t="s">
        <v>17</v>
      </c>
      <c r="J50" s="6" t="s">
        <v>18</v>
      </c>
      <c r="K50" s="7" t="n">
        <v>0</v>
      </c>
    </row>
    <row r="51" customFormat="false" ht="15" hidden="false" customHeight="false" outlineLevel="0" collapsed="false">
      <c r="A51" s="2" t="s">
        <v>200</v>
      </c>
      <c r="B51" s="2" t="s">
        <v>166</v>
      </c>
      <c r="C51" s="3" t="s">
        <v>201</v>
      </c>
      <c r="D51" s="4" t="n">
        <v>1</v>
      </c>
      <c r="E51" s="2" t="s">
        <v>190</v>
      </c>
      <c r="F51" s="5" t="s">
        <v>197</v>
      </c>
      <c r="G51" s="3" t="s">
        <v>202</v>
      </c>
      <c r="H51" s="2" t="s">
        <v>193</v>
      </c>
      <c r="I51" s="2" t="s">
        <v>17</v>
      </c>
      <c r="J51" s="6" t="s">
        <v>18</v>
      </c>
      <c r="K51" s="7" t="n">
        <v>0</v>
      </c>
    </row>
    <row r="52" customFormat="false" ht="15" hidden="false" customHeight="false" outlineLevel="0" collapsed="false">
      <c r="A52" s="2" t="s">
        <v>203</v>
      </c>
      <c r="B52" s="2" t="s">
        <v>204</v>
      </c>
      <c r="C52" s="3" t="s">
        <v>205</v>
      </c>
      <c r="D52" s="4" t="n">
        <v>2</v>
      </c>
      <c r="E52" s="2" t="s">
        <v>190</v>
      </c>
      <c r="F52" s="5" t="s">
        <v>188</v>
      </c>
      <c r="G52" s="3" t="s">
        <v>206</v>
      </c>
      <c r="H52" s="2" t="s">
        <v>207</v>
      </c>
      <c r="I52" s="8" t="s">
        <v>56</v>
      </c>
      <c r="J52" s="6" t="s">
        <v>18</v>
      </c>
      <c r="K52" s="7" t="n">
        <v>0</v>
      </c>
    </row>
    <row r="53" customFormat="false" ht="15" hidden="false" customHeight="false" outlineLevel="0" collapsed="false">
      <c r="A53" s="2" t="s">
        <v>208</v>
      </c>
      <c r="B53" s="2" t="s">
        <v>204</v>
      </c>
      <c r="C53" s="3" t="s">
        <v>209</v>
      </c>
      <c r="D53" s="4" t="n">
        <v>2</v>
      </c>
      <c r="E53" s="2" t="s">
        <v>190</v>
      </c>
      <c r="F53" s="5" t="s">
        <v>203</v>
      </c>
      <c r="G53" s="3" t="s">
        <v>210</v>
      </c>
      <c r="H53" s="2" t="s">
        <v>207</v>
      </c>
      <c r="I53" s="2" t="s">
        <v>17</v>
      </c>
      <c r="J53" s="6" t="s">
        <v>18</v>
      </c>
      <c r="K53" s="7" t="n">
        <v>0</v>
      </c>
    </row>
    <row r="54" customFormat="false" ht="15" hidden="false" customHeight="false" outlineLevel="0" collapsed="false">
      <c r="A54" s="2" t="s">
        <v>211</v>
      </c>
      <c r="B54" s="2" t="s">
        <v>204</v>
      </c>
      <c r="C54" s="3" t="s">
        <v>212</v>
      </c>
      <c r="D54" s="4" t="n">
        <v>1</v>
      </c>
      <c r="E54" s="2" t="s">
        <v>190</v>
      </c>
      <c r="F54" s="5" t="s">
        <v>208</v>
      </c>
      <c r="G54" s="3" t="s">
        <v>213</v>
      </c>
      <c r="H54" s="2" t="s">
        <v>207</v>
      </c>
      <c r="I54" s="2" t="s">
        <v>17</v>
      </c>
      <c r="J54" s="6" t="s">
        <v>18</v>
      </c>
      <c r="K54" s="7" t="n">
        <v>0</v>
      </c>
    </row>
    <row r="55" customFormat="false" ht="15" hidden="false" customHeight="false" outlineLevel="0" collapsed="false">
      <c r="A55" s="2" t="s">
        <v>214</v>
      </c>
      <c r="B55" s="2" t="s">
        <v>204</v>
      </c>
      <c r="C55" s="3" t="s">
        <v>215</v>
      </c>
      <c r="D55" s="4" t="n">
        <v>2</v>
      </c>
      <c r="E55" s="2" t="s">
        <v>190</v>
      </c>
      <c r="F55" s="5" t="s">
        <v>182</v>
      </c>
      <c r="G55" s="3" t="s">
        <v>216</v>
      </c>
      <c r="H55" s="2" t="s">
        <v>217</v>
      </c>
      <c r="I55" s="2" t="s">
        <v>17</v>
      </c>
      <c r="J55" s="6" t="s">
        <v>18</v>
      </c>
      <c r="K55" s="7" t="n">
        <v>0</v>
      </c>
    </row>
    <row r="56" customFormat="false" ht="15" hidden="false" customHeight="false" outlineLevel="0" collapsed="false">
      <c r="A56" s="2" t="s">
        <v>218</v>
      </c>
      <c r="B56" s="2" t="s">
        <v>204</v>
      </c>
      <c r="C56" s="3" t="s">
        <v>219</v>
      </c>
      <c r="D56" s="4" t="n">
        <v>2</v>
      </c>
      <c r="E56" s="2" t="s">
        <v>190</v>
      </c>
      <c r="F56" s="5" t="s">
        <v>182</v>
      </c>
      <c r="G56" s="3" t="s">
        <v>220</v>
      </c>
      <c r="H56" s="2" t="s">
        <v>217</v>
      </c>
      <c r="I56" s="2" t="s">
        <v>17</v>
      </c>
      <c r="J56" s="6" t="s">
        <v>18</v>
      </c>
      <c r="K56" s="7" t="n">
        <v>0</v>
      </c>
    </row>
    <row r="57" customFormat="false" ht="15" hidden="false" customHeight="false" outlineLevel="0" collapsed="false">
      <c r="A57" s="2" t="s">
        <v>221</v>
      </c>
      <c r="B57" s="2" t="s">
        <v>204</v>
      </c>
      <c r="C57" s="3" t="s">
        <v>222</v>
      </c>
      <c r="D57" s="4" t="n">
        <v>2</v>
      </c>
      <c r="E57" s="2" t="s">
        <v>190</v>
      </c>
      <c r="F57" s="5" t="s">
        <v>211</v>
      </c>
      <c r="G57" s="3" t="s">
        <v>223</v>
      </c>
      <c r="H57" s="2" t="s">
        <v>217</v>
      </c>
      <c r="I57" s="2" t="s">
        <v>17</v>
      </c>
      <c r="J57" s="6" t="s">
        <v>18</v>
      </c>
      <c r="K57" s="7" t="n">
        <v>0</v>
      </c>
    </row>
    <row r="58" customFormat="false" ht="15" hidden="false" customHeight="false" outlineLevel="0" collapsed="false">
      <c r="A58" s="2" t="s">
        <v>224</v>
      </c>
      <c r="B58" s="2" t="s">
        <v>225</v>
      </c>
      <c r="C58" s="3" t="s">
        <v>226</v>
      </c>
      <c r="D58" s="4" t="n">
        <v>4</v>
      </c>
      <c r="E58" s="2" t="s">
        <v>31</v>
      </c>
      <c r="F58" s="5" t="s">
        <v>227</v>
      </c>
      <c r="G58" s="3" t="s">
        <v>228</v>
      </c>
      <c r="H58" s="2" t="s">
        <v>76</v>
      </c>
      <c r="I58" s="2" t="s">
        <v>17</v>
      </c>
      <c r="J58" s="6" t="s">
        <v>18</v>
      </c>
      <c r="K58" s="7" t="n">
        <v>0</v>
      </c>
    </row>
    <row r="59" customFormat="false" ht="15" hidden="false" customHeight="false" outlineLevel="0" collapsed="false">
      <c r="A59" s="2" t="s">
        <v>229</v>
      </c>
      <c r="B59" s="2" t="s">
        <v>225</v>
      </c>
      <c r="C59" s="3" t="s">
        <v>230</v>
      </c>
      <c r="D59" s="4" t="n">
        <v>6</v>
      </c>
      <c r="E59" s="2" t="s">
        <v>96</v>
      </c>
      <c r="F59" s="5" t="s">
        <v>231</v>
      </c>
      <c r="G59" s="3" t="s">
        <v>232</v>
      </c>
      <c r="H59" s="2" t="s">
        <v>233</v>
      </c>
      <c r="I59" s="2" t="s">
        <v>17</v>
      </c>
      <c r="J59" s="6" t="s">
        <v>18</v>
      </c>
      <c r="K59" s="7" t="n">
        <v>0</v>
      </c>
    </row>
    <row r="60" customFormat="false" ht="15" hidden="false" customHeight="false" outlineLevel="0" collapsed="false">
      <c r="A60" s="2" t="s">
        <v>234</v>
      </c>
      <c r="B60" s="2" t="s">
        <v>225</v>
      </c>
      <c r="C60" s="3" t="s">
        <v>235</v>
      </c>
      <c r="D60" s="4" t="n">
        <v>6</v>
      </c>
      <c r="E60" s="2" t="s">
        <v>190</v>
      </c>
      <c r="F60" s="5" t="s">
        <v>236</v>
      </c>
      <c r="G60" s="3" t="s">
        <v>237</v>
      </c>
      <c r="H60" s="2" t="s">
        <v>238</v>
      </c>
      <c r="I60" s="8" t="s">
        <v>56</v>
      </c>
      <c r="J60" s="6" t="s">
        <v>18</v>
      </c>
      <c r="K60" s="7" t="n">
        <v>0</v>
      </c>
    </row>
    <row r="61" customFormat="false" ht="15" hidden="false" customHeight="false" outlineLevel="0" collapsed="false">
      <c r="A61" s="2" t="s">
        <v>239</v>
      </c>
      <c r="B61" s="2" t="s">
        <v>225</v>
      </c>
      <c r="C61" s="3" t="s">
        <v>240</v>
      </c>
      <c r="D61" s="4" t="n">
        <v>3</v>
      </c>
      <c r="E61" s="2" t="s">
        <v>241</v>
      </c>
      <c r="F61" s="5" t="s">
        <v>242</v>
      </c>
      <c r="G61" s="3" t="s">
        <v>243</v>
      </c>
      <c r="H61" s="2" t="s">
        <v>244</v>
      </c>
      <c r="I61" s="2" t="s">
        <v>17</v>
      </c>
      <c r="J61" s="6" t="s">
        <v>18</v>
      </c>
      <c r="K61" s="7" t="n">
        <v>0</v>
      </c>
    </row>
    <row r="62" customFormat="false" ht="15" hidden="false" customHeight="false" outlineLevel="0" collapsed="false">
      <c r="A62" s="2" t="s">
        <v>245</v>
      </c>
      <c r="B62" s="2" t="s">
        <v>225</v>
      </c>
      <c r="C62" s="3" t="s">
        <v>246</v>
      </c>
      <c r="D62" s="4" t="n">
        <v>2</v>
      </c>
      <c r="E62" s="2" t="s">
        <v>241</v>
      </c>
      <c r="F62" s="5" t="s">
        <v>247</v>
      </c>
      <c r="G62" s="3" t="s">
        <v>248</v>
      </c>
      <c r="H62" s="2" t="s">
        <v>249</v>
      </c>
      <c r="I62" s="2" t="s">
        <v>17</v>
      </c>
      <c r="J62" s="6" t="s">
        <v>18</v>
      </c>
      <c r="K62" s="7" t="n">
        <v>0</v>
      </c>
    </row>
    <row r="63" customFormat="false" ht="15" hidden="false" customHeight="false" outlineLevel="0" collapsed="false">
      <c r="A63" s="2" t="s">
        <v>250</v>
      </c>
      <c r="B63" s="2" t="s">
        <v>225</v>
      </c>
      <c r="C63" s="3" t="s">
        <v>251</v>
      </c>
      <c r="D63" s="4" t="n">
        <v>1</v>
      </c>
      <c r="E63" s="2" t="s">
        <v>241</v>
      </c>
      <c r="F63" s="5" t="s">
        <v>245</v>
      </c>
      <c r="G63" s="3" t="s">
        <v>252</v>
      </c>
      <c r="H63" s="2" t="s">
        <v>249</v>
      </c>
      <c r="I63" s="2" t="s">
        <v>17</v>
      </c>
      <c r="J63" s="6" t="s">
        <v>18</v>
      </c>
      <c r="K63" s="7" t="n">
        <v>0</v>
      </c>
    </row>
    <row r="64" customFormat="false" ht="15" hidden="false" customHeight="false" outlineLevel="0" collapsed="false">
      <c r="A64" s="2" t="s">
        <v>253</v>
      </c>
      <c r="B64" s="2" t="s">
        <v>225</v>
      </c>
      <c r="C64" s="3" t="s">
        <v>254</v>
      </c>
      <c r="D64" s="4" t="n">
        <v>2</v>
      </c>
      <c r="E64" s="2" t="s">
        <v>241</v>
      </c>
      <c r="F64" s="5" t="s">
        <v>239</v>
      </c>
      <c r="G64" s="3" t="s">
        <v>255</v>
      </c>
      <c r="H64" s="2" t="s">
        <v>244</v>
      </c>
      <c r="I64" s="2" t="s">
        <v>17</v>
      </c>
      <c r="J64" s="6" t="s">
        <v>18</v>
      </c>
      <c r="K64" s="7" t="n">
        <v>0</v>
      </c>
    </row>
    <row r="65" customFormat="false" ht="15" hidden="false" customHeight="false" outlineLevel="0" collapsed="false">
      <c r="A65" s="2" t="s">
        <v>256</v>
      </c>
      <c r="B65" s="2" t="s">
        <v>225</v>
      </c>
      <c r="C65" s="3" t="s">
        <v>257</v>
      </c>
      <c r="D65" s="4" t="n">
        <v>1</v>
      </c>
      <c r="E65" s="2" t="s">
        <v>241</v>
      </c>
      <c r="F65" s="5" t="s">
        <v>253</v>
      </c>
      <c r="G65" s="3" t="s">
        <v>258</v>
      </c>
      <c r="H65" s="2" t="s">
        <v>244</v>
      </c>
      <c r="I65" s="2" t="s">
        <v>17</v>
      </c>
      <c r="J65" s="6" t="s">
        <v>18</v>
      </c>
      <c r="K65" s="7" t="n">
        <v>0</v>
      </c>
    </row>
    <row r="66" customFormat="false" ht="15" hidden="false" customHeight="false" outlineLevel="0" collapsed="false">
      <c r="A66" s="9"/>
      <c r="B66" s="9"/>
      <c r="C66" s="10" t="s">
        <v>259</v>
      </c>
      <c r="D66" s="11" t="n">
        <f aca="false">SUM(D2:D65)</f>
        <v>150</v>
      </c>
      <c r="E66" s="9"/>
      <c r="F66" s="9"/>
      <c r="G66" s="9"/>
      <c r="H66" s="9"/>
      <c r="I66" s="9"/>
      <c r="J66" s="9"/>
      <c r="K66" s="9"/>
    </row>
  </sheetData>
  <autoFilter ref="A1:K6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16.15" hidden="false" customHeight="false" outlineLevel="0" collapsed="false">
      <c r="A1" s="12" t="s">
        <v>260</v>
      </c>
    </row>
    <row r="2" customFormat="false" ht="15" hidden="false" customHeight="false" outlineLevel="0" collapsed="false">
      <c r="A2" s="13" t="s">
        <v>261</v>
      </c>
    </row>
    <row r="4" customFormat="false" ht="15" hidden="false" customHeight="false" outlineLevel="0" collapsed="false">
      <c r="A4" s="1" t="s">
        <v>262</v>
      </c>
      <c r="B4" s="1" t="s">
        <v>263</v>
      </c>
      <c r="C4" s="1" t="s">
        <v>3</v>
      </c>
      <c r="D4" s="1" t="s">
        <v>264</v>
      </c>
      <c r="E4" s="1" t="s">
        <v>265</v>
      </c>
      <c r="F4" s="1" t="s">
        <v>10</v>
      </c>
      <c r="G4" s="1" t="s">
        <v>266</v>
      </c>
    </row>
    <row r="5" customFormat="false" ht="15" hidden="false" customHeight="false" outlineLevel="0" collapsed="false">
      <c r="A5" s="14" t="s">
        <v>12</v>
      </c>
      <c r="B5" s="15" t="s">
        <v>267</v>
      </c>
      <c r="C5" s="16" t="n">
        <f aca="false">SUMIF('WBS Dictionary'!$B$2:$B$65,$A5,'WBS Dictionary'!$D$2:$D$65)</f>
        <v>10</v>
      </c>
      <c r="D5" s="17" t="n">
        <f aca="false">IFERROR(C5/$C$14,0)</f>
        <v>0.0606060606060606</v>
      </c>
      <c r="E5" s="14" t="n">
        <f aca="false">COUNTIF('WBS Dictionary'!$B$2:$B$65,$A5)</f>
        <v>8</v>
      </c>
      <c r="F5" s="17" t="n">
        <f aca="false">IFERROR(G5/C5,0)</f>
        <v>0</v>
      </c>
      <c r="G5" s="16" t="n">
        <f aca="false">SUMPRODUCT(('WBS Dictionary'!$B$2:$B$65=$A5)*'WBS Dictionary'!$D$2:$D$65*'WBS Dictionary'!$K$2:$K$65)</f>
        <v>0</v>
      </c>
    </row>
    <row r="6" customFormat="false" ht="15" hidden="false" customHeight="false" outlineLevel="0" collapsed="false">
      <c r="A6" s="14" t="s">
        <v>45</v>
      </c>
      <c r="B6" s="15" t="s">
        <v>268</v>
      </c>
      <c r="C6" s="16" t="n">
        <f aca="false">SUMIF('WBS Dictionary'!$B$2:$B$65,$A6,'WBS Dictionary'!$D$2:$D$65)</f>
        <v>27</v>
      </c>
      <c r="D6" s="17" t="n">
        <f aca="false">IFERROR(C6/$C$14,0)</f>
        <v>0.163636363636364</v>
      </c>
      <c r="E6" s="14" t="n">
        <f aca="false">COUNTIF('WBS Dictionary'!$B$2:$B$65,$A6)</f>
        <v>12</v>
      </c>
      <c r="F6" s="17" t="n">
        <f aca="false">IFERROR(G6/C6,0)</f>
        <v>0</v>
      </c>
      <c r="G6" s="16" t="n">
        <f aca="false">SUMPRODUCT(('WBS Dictionary'!$B$2:$B$65=$A6)*'WBS Dictionary'!$D$2:$D$65*'WBS Dictionary'!$K$2:$K$65)</f>
        <v>0</v>
      </c>
    </row>
    <row r="7" customFormat="false" ht="15" hidden="false" customHeight="false" outlineLevel="0" collapsed="false">
      <c r="A7" s="14" t="s">
        <v>91</v>
      </c>
      <c r="B7" s="15" t="s">
        <v>269</v>
      </c>
      <c r="C7" s="16" t="n">
        <f aca="false">SUMIF('WBS Dictionary'!$B$2:$B$65,$A7,'WBS Dictionary'!$D$2:$D$65)</f>
        <v>12</v>
      </c>
      <c r="D7" s="17" t="n">
        <f aca="false">IFERROR(C7/$C$14,0)</f>
        <v>0.0727272727272727</v>
      </c>
      <c r="E7" s="14" t="n">
        <f aca="false">COUNTIF('WBS Dictionary'!$B$2:$B$65,$A7)</f>
        <v>6</v>
      </c>
      <c r="F7" s="17" t="n">
        <f aca="false">IFERROR(G7/C7,0)</f>
        <v>0</v>
      </c>
      <c r="G7" s="16" t="n">
        <f aca="false">SUMPRODUCT(('WBS Dictionary'!$B$2:$B$65=$A7)*'WBS Dictionary'!$D$2:$D$65*'WBS Dictionary'!$K$2:$K$65)</f>
        <v>0</v>
      </c>
    </row>
    <row r="8" customFormat="false" ht="15" hidden="false" customHeight="false" outlineLevel="0" collapsed="false">
      <c r="A8" s="14" t="s">
        <v>114</v>
      </c>
      <c r="B8" s="15" t="s">
        <v>270</v>
      </c>
      <c r="C8" s="16" t="n">
        <f aca="false">SUMIF('WBS Dictionary'!$B$2:$B$65,$A8,'WBS Dictionary'!$D$2:$D$65)</f>
        <v>25</v>
      </c>
      <c r="D8" s="17" t="n">
        <f aca="false">IFERROR(C8/$C$14,0)</f>
        <v>0.151515151515152</v>
      </c>
      <c r="E8" s="14" t="n">
        <f aca="false">COUNTIF('WBS Dictionary'!$B$2:$B$65,$A8)</f>
        <v>8</v>
      </c>
      <c r="F8" s="17" t="n">
        <f aca="false">IFERROR(G8/C8,0)</f>
        <v>0</v>
      </c>
      <c r="G8" s="16" t="n">
        <f aca="false">SUMPRODUCT(('WBS Dictionary'!$B$2:$B$65=$A8)*'WBS Dictionary'!$D$2:$D$65*'WBS Dictionary'!$K$2:$K$65)</f>
        <v>0</v>
      </c>
    </row>
    <row r="9" customFormat="false" ht="15" hidden="false" customHeight="false" outlineLevel="0" collapsed="false">
      <c r="A9" s="14" t="s">
        <v>145</v>
      </c>
      <c r="B9" s="15" t="s">
        <v>271</v>
      </c>
      <c r="C9" s="16" t="n">
        <f aca="false">SUMIF('WBS Dictionary'!$B$2:$B$65,$A9,'WBS Dictionary'!$D$2:$D$65)</f>
        <v>15</v>
      </c>
      <c r="D9" s="17" t="n">
        <f aca="false">IFERROR(C9/$C$14,0)</f>
        <v>0.0909090909090909</v>
      </c>
      <c r="E9" s="14" t="n">
        <f aca="false">COUNTIF('WBS Dictionary'!$B$2:$B$65,$A9)</f>
        <v>6</v>
      </c>
      <c r="F9" s="17" t="n">
        <f aca="false">IFERROR(G9/C9,0)</f>
        <v>0</v>
      </c>
      <c r="G9" s="16" t="n">
        <f aca="false">SUMPRODUCT(('WBS Dictionary'!$B$2:$B$65=$A9)*'WBS Dictionary'!$D$2:$D$65*'WBS Dictionary'!$K$2:$K$65)</f>
        <v>0</v>
      </c>
    </row>
    <row r="10" customFormat="false" ht="15" hidden="false" customHeight="false" outlineLevel="0" collapsed="false">
      <c r="A10" s="14" t="s">
        <v>166</v>
      </c>
      <c r="B10" s="15" t="s">
        <v>272</v>
      </c>
      <c r="C10" s="16" t="n">
        <f aca="false">SUMIF('WBS Dictionary'!$B$2:$B$65,$A10,'WBS Dictionary'!$D$2:$D$65)</f>
        <v>25</v>
      </c>
      <c r="D10" s="17" t="n">
        <f aca="false">IFERROR(C10/$C$14,0)</f>
        <v>0.151515151515152</v>
      </c>
      <c r="E10" s="14" t="n">
        <f aca="false">COUNTIF('WBS Dictionary'!$B$2:$B$65,$A10)</f>
        <v>10</v>
      </c>
      <c r="F10" s="17" t="n">
        <f aca="false">IFERROR(G10/C10,0)</f>
        <v>0</v>
      </c>
      <c r="G10" s="16" t="n">
        <f aca="false">SUMPRODUCT(('WBS Dictionary'!$B$2:$B$65=$A10)*'WBS Dictionary'!$D$2:$D$65*'WBS Dictionary'!$K$2:$K$65)</f>
        <v>0</v>
      </c>
    </row>
    <row r="11" customFormat="false" ht="15" hidden="false" customHeight="false" outlineLevel="0" collapsed="false">
      <c r="A11" s="14" t="s">
        <v>204</v>
      </c>
      <c r="B11" s="15" t="s">
        <v>273</v>
      </c>
      <c r="C11" s="16" t="n">
        <f aca="false">SUMIF('WBS Dictionary'!$B$2:$B$65,$A11,'WBS Dictionary'!$D$2:$D$65)</f>
        <v>11</v>
      </c>
      <c r="D11" s="17" t="n">
        <f aca="false">IFERROR(C11/$C$14,0)</f>
        <v>0.0666666666666667</v>
      </c>
      <c r="E11" s="14" t="n">
        <f aca="false">COUNTIF('WBS Dictionary'!$B$2:$B$65,$A11)</f>
        <v>6</v>
      </c>
      <c r="F11" s="17" t="n">
        <f aca="false">IFERROR(G11/C11,0)</f>
        <v>0</v>
      </c>
      <c r="G11" s="16" t="n">
        <f aca="false">SUMPRODUCT(('WBS Dictionary'!$B$2:$B$65=$A11)*'WBS Dictionary'!$D$2:$D$65*'WBS Dictionary'!$K$2:$K$65)</f>
        <v>0</v>
      </c>
    </row>
    <row r="12" customFormat="false" ht="15" hidden="false" customHeight="false" outlineLevel="0" collapsed="false">
      <c r="A12" s="14" t="s">
        <v>225</v>
      </c>
      <c r="B12" s="15" t="s">
        <v>274</v>
      </c>
      <c r="C12" s="16" t="n">
        <f aca="false">SUMIF('WBS Dictionary'!$B$2:$B$65,$A12,'WBS Dictionary'!$D$2:$D$65)</f>
        <v>25</v>
      </c>
      <c r="D12" s="17" t="n">
        <f aca="false">IFERROR(C12/$C$14,0)</f>
        <v>0.151515151515152</v>
      </c>
      <c r="E12" s="14" t="n">
        <f aca="false">COUNTIF('WBS Dictionary'!$B$2:$B$65,$A12)</f>
        <v>8</v>
      </c>
      <c r="F12" s="17" t="n">
        <f aca="false">IFERROR(G12/C12,0)</f>
        <v>0</v>
      </c>
      <c r="G12" s="16" t="n">
        <f aca="false">SUMPRODUCT(('WBS Dictionary'!$B$2:$B$65=$A12)*'WBS Dictionary'!$D$2:$D$65*'WBS Dictionary'!$K$2:$K$65)</f>
        <v>0</v>
      </c>
    </row>
    <row r="13" customFormat="false" ht="15" hidden="false" customHeight="false" outlineLevel="0" collapsed="false">
      <c r="A13" s="14" t="s">
        <v>275</v>
      </c>
      <c r="B13" s="15" t="s">
        <v>276</v>
      </c>
      <c r="C13" s="18" t="n">
        <v>15</v>
      </c>
      <c r="D13" s="17" t="n">
        <f aca="false">IFERROR(C13/$C$14,0)</f>
        <v>0.0909090909090909</v>
      </c>
      <c r="E13" s="14" t="s">
        <v>15</v>
      </c>
      <c r="F13" s="15"/>
      <c r="G13" s="15"/>
    </row>
    <row r="14" customFormat="false" ht="15" hidden="false" customHeight="false" outlineLevel="0" collapsed="false">
      <c r="A14" s="10"/>
      <c r="B14" s="10" t="s">
        <v>277</v>
      </c>
      <c r="C14" s="11" t="n">
        <f aca="false">SUM(C5:C13)</f>
        <v>165</v>
      </c>
      <c r="D14" s="19" t="n">
        <f aca="false">IFERROR(C14/$C$14,0)</f>
        <v>1</v>
      </c>
      <c r="E14" s="20" t="n">
        <f aca="false">SUM(E5:E12)</f>
        <v>64</v>
      </c>
      <c r="F14" s="19" t="n">
        <f aca="false">IFERROR(G14/SUM(C5:C12),0)</f>
        <v>0</v>
      </c>
      <c r="G14" s="11" t="n">
        <f aca="false">SUM(G5:G12)</f>
        <v>0</v>
      </c>
    </row>
    <row r="16" customFormat="false" ht="15" hidden="false" customHeight="false" outlineLevel="0" collapsed="false">
      <c r="A16" s="13" t="s">
        <v>278</v>
      </c>
    </row>
    <row r="17" customFormat="false" ht="15" hidden="false" customHeight="false" outlineLevel="0" collapsed="false">
      <c r="A17" s="13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15"/>
    <col collapsed="false" customWidth="true" hidden="false" outlineLevel="0" max="5" min="4" style="0" width="11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2" t="s">
        <v>280</v>
      </c>
    </row>
    <row r="2" customFormat="false" ht="15" hidden="false" customHeight="false" outlineLevel="0" collapsed="false">
      <c r="A2" s="21" t="s">
        <v>281</v>
      </c>
      <c r="D2" s="22" t="n">
        <v>27</v>
      </c>
    </row>
    <row r="4" customFormat="false" ht="15" hidden="false" customHeight="false" outlineLevel="0" collapsed="false">
      <c r="A4" s="1" t="s">
        <v>4</v>
      </c>
      <c r="B4" s="1" t="s">
        <v>282</v>
      </c>
      <c r="C4" s="1" t="s">
        <v>283</v>
      </c>
      <c r="D4" s="1" t="s">
        <v>284</v>
      </c>
      <c r="E4" s="1" t="s">
        <v>285</v>
      </c>
      <c r="F4" s="1" t="s">
        <v>9</v>
      </c>
      <c r="G4" s="1" t="s">
        <v>286</v>
      </c>
    </row>
    <row r="5" customFormat="false" ht="15" hidden="false" customHeight="false" outlineLevel="0" collapsed="false">
      <c r="A5" s="14" t="s">
        <v>14</v>
      </c>
      <c r="B5" s="15" t="s">
        <v>287</v>
      </c>
      <c r="C5" s="16" t="n">
        <f aca="false">SUMIF('WBS Dictionary'!$E$2:$E$65,$A5,'WBS Dictionary'!$D$2:$D$65)</f>
        <v>6</v>
      </c>
      <c r="D5" s="16" t="n">
        <v>0</v>
      </c>
      <c r="E5" s="23" t="n">
        <f aca="false">IFERROR(C5/D5,0)</f>
        <v>0</v>
      </c>
      <c r="F5" s="14" t="str">
        <f aca="false">IF(D5=0,"n/a",IF(E5&gt;1.1,"OVER",IF(E5&gt;1,"TIGHT","OK")))</f>
        <v>n/a</v>
      </c>
      <c r="G5" s="15" t="s">
        <v>288</v>
      </c>
    </row>
    <row r="6" customFormat="false" ht="15" hidden="false" customHeight="false" outlineLevel="0" collapsed="false">
      <c r="A6" s="14" t="s">
        <v>31</v>
      </c>
      <c r="B6" s="15" t="s">
        <v>289</v>
      </c>
      <c r="C6" s="16" t="n">
        <f aca="false">SUMIF('WBS Dictionary'!$E$2:$E$65,$A6,'WBS Dictionary'!$D$2:$D$65)</f>
        <v>34</v>
      </c>
      <c r="D6" s="16" t="n">
        <f aca="false">$D$2</f>
        <v>27</v>
      </c>
      <c r="E6" s="23" t="n">
        <f aca="false">IFERROR(C6/D6,0)</f>
        <v>1.25925925925926</v>
      </c>
      <c r="F6" s="14" t="str">
        <f aca="false">IF(D6=0,"n/a",IF(E6&gt;1.1,"OVER",IF(E6&gt;1,"TIGHT","OK")))</f>
        <v>OVER</v>
      </c>
      <c r="G6" s="15" t="s">
        <v>290</v>
      </c>
    </row>
    <row r="7" customFormat="false" ht="15" hidden="false" customHeight="false" outlineLevel="0" collapsed="false">
      <c r="A7" s="14" t="s">
        <v>79</v>
      </c>
      <c r="B7" s="15" t="s">
        <v>291</v>
      </c>
      <c r="C7" s="16" t="n">
        <f aca="false">SUMIF('WBS Dictionary'!$E$2:$E$65,$A7,'WBS Dictionary'!$D$2:$D$65)</f>
        <v>30</v>
      </c>
      <c r="D7" s="16" t="n">
        <f aca="false">$D$2</f>
        <v>27</v>
      </c>
      <c r="E7" s="23" t="n">
        <f aca="false">IFERROR(C7/D7,0)</f>
        <v>1.11111111111111</v>
      </c>
      <c r="F7" s="14" t="str">
        <f aca="false">IF(D7=0,"n/a",IF(E7&gt;1.1,"OVER",IF(E7&gt;1,"TIGHT","OK")))</f>
        <v>OVER</v>
      </c>
      <c r="G7" s="15" t="s">
        <v>292</v>
      </c>
    </row>
    <row r="8" customFormat="false" ht="15" hidden="false" customHeight="false" outlineLevel="0" collapsed="false">
      <c r="A8" s="14" t="s">
        <v>96</v>
      </c>
      <c r="B8" s="15" t="s">
        <v>293</v>
      </c>
      <c r="C8" s="16" t="n">
        <f aca="false">SUMIF('WBS Dictionary'!$E$2:$E$65,$A8,'WBS Dictionary'!$D$2:$D$65)</f>
        <v>26</v>
      </c>
      <c r="D8" s="16" t="n">
        <f aca="false">$D$2</f>
        <v>27</v>
      </c>
      <c r="E8" s="23" t="n">
        <f aca="false">IFERROR(C8/D8,0)</f>
        <v>0.962962962962963</v>
      </c>
      <c r="F8" s="14" t="str">
        <f aca="false">IF(D8=0,"n/a",IF(E8&gt;1.1,"OVER",IF(E8&gt;1,"TIGHT","OK")))</f>
        <v>OK</v>
      </c>
      <c r="G8" s="15" t="s">
        <v>294</v>
      </c>
    </row>
    <row r="9" customFormat="false" ht="15" hidden="false" customHeight="false" outlineLevel="0" collapsed="false">
      <c r="A9" s="14" t="s">
        <v>168</v>
      </c>
      <c r="B9" s="15" t="s">
        <v>295</v>
      </c>
      <c r="C9" s="16" t="n">
        <f aca="false">SUMIF('WBS Dictionary'!$E$2:$E$65,$A9,'WBS Dictionary'!$D$2:$D$65)</f>
        <v>17</v>
      </c>
      <c r="D9" s="16" t="n">
        <f aca="false">$D$2</f>
        <v>27</v>
      </c>
      <c r="E9" s="23" t="n">
        <f aca="false">IFERROR(C9/D9,0)</f>
        <v>0.62962962962963</v>
      </c>
      <c r="F9" s="14" t="str">
        <f aca="false">IF(D9=0,"n/a",IF(E9&gt;1.1,"OVER",IF(E9&gt;1,"TIGHT","OK")))</f>
        <v>OK</v>
      </c>
      <c r="G9" s="15" t="s">
        <v>296</v>
      </c>
    </row>
    <row r="10" customFormat="false" ht="15" hidden="false" customHeight="false" outlineLevel="0" collapsed="false">
      <c r="A10" s="14" t="s">
        <v>190</v>
      </c>
      <c r="B10" s="15" t="s">
        <v>297</v>
      </c>
      <c r="C10" s="16" t="n">
        <f aca="false">SUMIF('WBS Dictionary'!$E$2:$E$65,$A10,'WBS Dictionary'!$D$2:$D$65)</f>
        <v>25</v>
      </c>
      <c r="D10" s="16" t="n">
        <f aca="false">$D$2</f>
        <v>27</v>
      </c>
      <c r="E10" s="23" t="n">
        <f aca="false">IFERROR(C10/D10,0)</f>
        <v>0.925925925925926</v>
      </c>
      <c r="F10" s="14" t="str">
        <f aca="false">IF(D10=0,"n/a",IF(E10&gt;1.1,"OVER",IF(E10&gt;1,"TIGHT","OK")))</f>
        <v>OK</v>
      </c>
      <c r="G10" s="15" t="s">
        <v>298</v>
      </c>
    </row>
    <row r="11" customFormat="false" ht="15" hidden="false" customHeight="false" outlineLevel="0" collapsed="false">
      <c r="A11" s="14" t="s">
        <v>241</v>
      </c>
      <c r="B11" s="15" t="s">
        <v>299</v>
      </c>
      <c r="C11" s="16" t="n">
        <f aca="false">SUMIF('WBS Dictionary'!$E$2:$E$65,$A11,'WBS Dictionary'!$D$2:$D$65)</f>
        <v>9</v>
      </c>
      <c r="D11" s="16" t="n">
        <f aca="false">$D$2</f>
        <v>27</v>
      </c>
      <c r="E11" s="23" t="n">
        <f aca="false">IFERROR(C11/D11,0)</f>
        <v>0.333333333333333</v>
      </c>
      <c r="F11" s="14" t="str">
        <f aca="false">IF(D11=0,"n/a",IF(E11&gt;1.1,"OVER",IF(E11&gt;1,"TIGHT","OK")))</f>
        <v>OK</v>
      </c>
      <c r="G11" s="15" t="s">
        <v>300</v>
      </c>
    </row>
    <row r="12" customFormat="false" ht="15" hidden="false" customHeight="false" outlineLevel="0" collapsed="false">
      <c r="A12" s="15"/>
      <c r="B12" s="15" t="s">
        <v>301</v>
      </c>
      <c r="C12" s="16" t="n">
        <f aca="false">SUMIF('WBS Dictionary'!$E$2:$E$65,"1-6",'WBS Dictionary'!$D$2:$D$65)</f>
        <v>3</v>
      </c>
      <c r="D12" s="15"/>
      <c r="E12" s="15"/>
      <c r="F12" s="15"/>
      <c r="G12" s="15" t="s">
        <v>302</v>
      </c>
    </row>
    <row r="13" customFormat="false" ht="15" hidden="false" customHeight="false" outlineLevel="0" collapsed="false">
      <c r="A13" s="15"/>
      <c r="B13" s="15" t="s">
        <v>303</v>
      </c>
      <c r="C13" s="16" t="n">
        <f aca="false">'Roll-Up'!C13</f>
        <v>15</v>
      </c>
      <c r="D13" s="15"/>
      <c r="E13" s="15"/>
      <c r="F13" s="15"/>
      <c r="G13" s="15"/>
    </row>
    <row r="14" customFormat="false" ht="15" hidden="false" customHeight="false" outlineLevel="0" collapsed="false">
      <c r="A14" s="10"/>
      <c r="B14" s="10" t="s">
        <v>304</v>
      </c>
      <c r="C14" s="11" t="n">
        <f aca="false">SUM(C5:C13)</f>
        <v>165</v>
      </c>
      <c r="D14" s="10"/>
      <c r="E14" s="10"/>
      <c r="F14" s="10"/>
      <c r="G14" s="10"/>
    </row>
    <row r="16" customFormat="false" ht="15" hidden="false" customHeight="false" outlineLevel="0" collapsed="false">
      <c r="A16" s="13" t="s">
        <v>305</v>
      </c>
    </row>
    <row r="17" customFormat="false" ht="15" hidden="false" customHeight="false" outlineLevel="0" collapsed="false">
      <c r="A17" s="13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58"/>
  </cols>
  <sheetData>
    <row r="1" customFormat="false" ht="16.15" hidden="false" customHeight="false" outlineLevel="0" collapsed="false">
      <c r="A1" s="12" t="s">
        <v>307</v>
      </c>
    </row>
    <row r="2" customFormat="false" ht="15" hidden="false" customHeight="false" outlineLevel="0" collapsed="false">
      <c r="A2" s="13" t="s">
        <v>308</v>
      </c>
    </row>
    <row r="4" customFormat="false" ht="15" hidden="false" customHeight="false" outlineLevel="0" collapsed="false">
      <c r="A4" s="1" t="s">
        <v>0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309</v>
      </c>
    </row>
    <row r="5" customFormat="false" ht="15" hidden="false" customHeight="false" outlineLevel="0" collapsed="false">
      <c r="A5" s="2" t="s">
        <v>52</v>
      </c>
      <c r="B5" s="3" t="s">
        <v>53</v>
      </c>
      <c r="C5" s="4" t="n">
        <f aca="false">INDEX('WBS Dictionary'!$D$2:$D$65,MATCH($A5,'WBS Dictionary'!$A$2:$A$65,0))</f>
        <v>4</v>
      </c>
      <c r="D5" s="2" t="s">
        <v>31</v>
      </c>
      <c r="E5" s="5" t="s">
        <v>44</v>
      </c>
      <c r="F5" s="3" t="s">
        <v>310</v>
      </c>
    </row>
    <row r="6" customFormat="false" ht="15" hidden="false" customHeight="false" outlineLevel="0" collapsed="false">
      <c r="A6" s="2" t="s">
        <v>61</v>
      </c>
      <c r="B6" s="3" t="s">
        <v>62</v>
      </c>
      <c r="C6" s="4" t="n">
        <f aca="false">INDEX('WBS Dictionary'!$D$2:$D$65,MATCH($A6,'WBS Dictionary'!$A$2:$A$65,0))</f>
        <v>6</v>
      </c>
      <c r="D6" s="2" t="s">
        <v>31</v>
      </c>
      <c r="E6" s="5" t="s">
        <v>63</v>
      </c>
      <c r="F6" s="3" t="s">
        <v>311</v>
      </c>
    </row>
    <row r="7" customFormat="false" ht="15" hidden="false" customHeight="false" outlineLevel="0" collapsed="false">
      <c r="A7" s="2" t="s">
        <v>70</v>
      </c>
      <c r="B7" s="3" t="s">
        <v>71</v>
      </c>
      <c r="C7" s="4" t="n">
        <f aca="false">INDEX('WBS Dictionary'!$D$2:$D$65,MATCH($A7,'WBS Dictionary'!$A$2:$A$65,0))</f>
        <v>2</v>
      </c>
      <c r="D7" s="2" t="s">
        <v>31</v>
      </c>
      <c r="E7" s="5" t="s">
        <v>44</v>
      </c>
      <c r="F7" s="3" t="s">
        <v>312</v>
      </c>
    </row>
    <row r="8" customFormat="false" ht="15" hidden="false" customHeight="false" outlineLevel="0" collapsed="false">
      <c r="A8" s="2" t="s">
        <v>77</v>
      </c>
      <c r="B8" s="3" t="s">
        <v>78</v>
      </c>
      <c r="C8" s="4" t="n">
        <f aca="false">INDEX('WBS Dictionary'!$D$2:$D$65,MATCH($A8,'WBS Dictionary'!$A$2:$A$65,0))</f>
        <v>1</v>
      </c>
      <c r="D8" s="2" t="s">
        <v>79</v>
      </c>
      <c r="E8" s="5" t="s">
        <v>66</v>
      </c>
      <c r="F8" s="3" t="s">
        <v>313</v>
      </c>
    </row>
    <row r="9" customFormat="false" ht="15" hidden="false" customHeight="false" outlineLevel="0" collapsed="false">
      <c r="A9" s="2" t="s">
        <v>82</v>
      </c>
      <c r="B9" s="3" t="s">
        <v>83</v>
      </c>
      <c r="C9" s="4" t="n">
        <f aca="false">INDEX('WBS Dictionary'!$D$2:$D$65,MATCH($A9,'WBS Dictionary'!$A$2:$A$65,0))</f>
        <v>2.5</v>
      </c>
      <c r="D9" s="2" t="s">
        <v>79</v>
      </c>
      <c r="E9" s="5" t="s">
        <v>77</v>
      </c>
      <c r="F9" s="3" t="s">
        <v>314</v>
      </c>
    </row>
    <row r="10" customFormat="false" ht="15" hidden="false" customHeight="false" outlineLevel="0" collapsed="false">
      <c r="A10" s="2" t="s">
        <v>85</v>
      </c>
      <c r="B10" s="3" t="s">
        <v>86</v>
      </c>
      <c r="C10" s="4" t="n">
        <f aca="false">INDEX('WBS Dictionary'!$D$2:$D$65,MATCH($A10,'WBS Dictionary'!$A$2:$A$65,0))</f>
        <v>1</v>
      </c>
      <c r="D10" s="2" t="s">
        <v>31</v>
      </c>
      <c r="E10" s="5" t="s">
        <v>61</v>
      </c>
      <c r="F10" s="3" t="s">
        <v>315</v>
      </c>
    </row>
    <row r="11" customFormat="false" ht="15" hidden="false" customHeight="false" outlineLevel="0" collapsed="false">
      <c r="A11" s="2" t="s">
        <v>97</v>
      </c>
      <c r="B11" s="3" t="s">
        <v>122</v>
      </c>
      <c r="C11" s="4" t="n">
        <f aca="false">INDEX('WBS Dictionary'!$D$2:$D$65,MATCH($A11,'WBS Dictionary'!$A$2:$A$65,0))</f>
        <v>5</v>
      </c>
      <c r="D11" s="2" t="s">
        <v>79</v>
      </c>
      <c r="E11" s="5" t="s">
        <v>123</v>
      </c>
      <c r="F11" s="3" t="s">
        <v>316</v>
      </c>
    </row>
    <row r="12" customFormat="false" ht="15" hidden="false" customHeight="false" outlineLevel="0" collapsed="false">
      <c r="A12" s="2" t="s">
        <v>132</v>
      </c>
      <c r="B12" s="3" t="s">
        <v>133</v>
      </c>
      <c r="C12" s="4" t="n">
        <f aca="false">INDEX('WBS Dictionary'!$D$2:$D$65,MATCH($A12,'WBS Dictionary'!$A$2:$A$65,0))</f>
        <v>4</v>
      </c>
      <c r="D12" s="2" t="s">
        <v>79</v>
      </c>
      <c r="E12" s="5" t="s">
        <v>97</v>
      </c>
      <c r="F12" s="3" t="s">
        <v>317</v>
      </c>
    </row>
    <row r="13" customFormat="false" ht="15" hidden="false" customHeight="false" outlineLevel="0" collapsed="false">
      <c r="A13" s="2" t="s">
        <v>136</v>
      </c>
      <c r="B13" s="3" t="s">
        <v>137</v>
      </c>
      <c r="C13" s="4" t="n">
        <f aca="false">INDEX('WBS Dictionary'!$D$2:$D$65,MATCH($A13,'WBS Dictionary'!$A$2:$A$65,0))</f>
        <v>1.5</v>
      </c>
      <c r="D13" s="2" t="s">
        <v>96</v>
      </c>
      <c r="E13" s="5" t="s">
        <v>138</v>
      </c>
      <c r="F13" s="3" t="s">
        <v>318</v>
      </c>
    </row>
    <row r="14" customFormat="false" ht="15" hidden="false" customHeight="false" outlineLevel="0" collapsed="false">
      <c r="A14" s="2" t="s">
        <v>141</v>
      </c>
      <c r="B14" s="3" t="s">
        <v>142</v>
      </c>
      <c r="C14" s="4" t="n">
        <f aca="false">INDEX('WBS Dictionary'!$D$2:$D$65,MATCH($A14,'WBS Dictionary'!$A$2:$A$65,0))</f>
        <v>1.5</v>
      </c>
      <c r="D14" s="2" t="s">
        <v>96</v>
      </c>
      <c r="E14" s="5" t="s">
        <v>136</v>
      </c>
      <c r="F14" s="3" t="s">
        <v>319</v>
      </c>
    </row>
    <row r="15" customFormat="false" ht="15" hidden="false" customHeight="false" outlineLevel="0" collapsed="false">
      <c r="A15" s="2" t="s">
        <v>172</v>
      </c>
      <c r="B15" s="3" t="s">
        <v>173</v>
      </c>
      <c r="C15" s="4" t="n">
        <f aca="false">INDEX('WBS Dictionary'!$D$2:$D$65,MATCH($A15,'WBS Dictionary'!$A$2:$A$65,0))</f>
        <v>2</v>
      </c>
      <c r="D15" s="2" t="s">
        <v>168</v>
      </c>
      <c r="E15" s="5" t="s">
        <v>165</v>
      </c>
      <c r="F15" s="3" t="s">
        <v>320</v>
      </c>
    </row>
    <row r="16" customFormat="false" ht="15" hidden="false" customHeight="false" outlineLevel="0" collapsed="false">
      <c r="A16" s="2" t="s">
        <v>185</v>
      </c>
      <c r="B16" s="3" t="s">
        <v>186</v>
      </c>
      <c r="C16" s="4" t="n">
        <f aca="false">INDEX('WBS Dictionary'!$D$2:$D$65,MATCH($A16,'WBS Dictionary'!$A$2:$A$65,0))</f>
        <v>1</v>
      </c>
      <c r="D16" s="2" t="s">
        <v>168</v>
      </c>
      <c r="E16" s="5" t="s">
        <v>182</v>
      </c>
      <c r="F16" s="3" t="s">
        <v>321</v>
      </c>
    </row>
    <row r="17" customFormat="false" ht="15" hidden="false" customHeight="false" outlineLevel="0" collapsed="false">
      <c r="A17" s="2" t="s">
        <v>188</v>
      </c>
      <c r="B17" s="3" t="s">
        <v>189</v>
      </c>
      <c r="C17" s="4" t="n">
        <f aca="false">INDEX('WBS Dictionary'!$D$2:$D$65,MATCH($A17,'WBS Dictionary'!$A$2:$A$65,0))</f>
        <v>3</v>
      </c>
      <c r="D17" s="2" t="s">
        <v>190</v>
      </c>
      <c r="E17" s="5" t="s">
        <v>191</v>
      </c>
      <c r="F17" s="3" t="s">
        <v>322</v>
      </c>
    </row>
    <row r="18" customFormat="false" ht="15" hidden="false" customHeight="false" outlineLevel="0" collapsed="false">
      <c r="A18" s="2" t="s">
        <v>194</v>
      </c>
      <c r="B18" s="3" t="s">
        <v>195</v>
      </c>
      <c r="C18" s="4" t="n">
        <f aca="false">INDEX('WBS Dictionary'!$D$2:$D$65,MATCH($A18,'WBS Dictionary'!$A$2:$A$65,0))</f>
        <v>2</v>
      </c>
      <c r="D18" s="2" t="s">
        <v>190</v>
      </c>
      <c r="E18" s="5" t="s">
        <v>188</v>
      </c>
      <c r="F18" s="3" t="s">
        <v>323</v>
      </c>
    </row>
    <row r="19" customFormat="false" ht="15" hidden="false" customHeight="false" outlineLevel="0" collapsed="false">
      <c r="A19" s="2" t="s">
        <v>203</v>
      </c>
      <c r="B19" s="3" t="s">
        <v>205</v>
      </c>
      <c r="C19" s="4" t="n">
        <f aca="false">INDEX('WBS Dictionary'!$D$2:$D$65,MATCH($A19,'WBS Dictionary'!$A$2:$A$65,0))</f>
        <v>2</v>
      </c>
      <c r="D19" s="2" t="s">
        <v>190</v>
      </c>
      <c r="E19" s="5" t="s">
        <v>188</v>
      </c>
      <c r="F19" s="3" t="s">
        <v>324</v>
      </c>
    </row>
    <row r="20" customFormat="false" ht="15" hidden="false" customHeight="false" outlineLevel="0" collapsed="false">
      <c r="A20" s="2" t="s">
        <v>234</v>
      </c>
      <c r="B20" s="3" t="s">
        <v>235</v>
      </c>
      <c r="C20" s="4" t="n">
        <f aca="false">INDEX('WBS Dictionary'!$D$2:$D$65,MATCH($A20,'WBS Dictionary'!$A$2:$A$65,0))</f>
        <v>6</v>
      </c>
      <c r="D20" s="2" t="s">
        <v>190</v>
      </c>
      <c r="E20" s="5" t="s">
        <v>236</v>
      </c>
      <c r="F20" s="3" t="s">
        <v>325</v>
      </c>
    </row>
    <row r="21" customFormat="false" ht="15" hidden="false" customHeight="false" outlineLevel="0" collapsed="false">
      <c r="A21" s="10"/>
      <c r="B21" s="10" t="s">
        <v>326</v>
      </c>
      <c r="C21" s="11" t="n">
        <f aca="false">SUM(C5:C20)</f>
        <v>44.5</v>
      </c>
      <c r="D21" s="10"/>
      <c r="E21" s="10"/>
      <c r="F21" s="10"/>
    </row>
    <row r="23" customFormat="false" ht="15" hidden="false" customHeight="false" outlineLevel="0" collapsed="false">
      <c r="A23" s="24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6"/>
  </cols>
  <sheetData>
    <row r="1" customFormat="false" ht="19.7" hidden="false" customHeight="false" outlineLevel="0" collapsed="false">
      <c r="A1" s="25" t="s">
        <v>328</v>
      </c>
    </row>
    <row r="2" customFormat="false" ht="15" hidden="false" customHeight="false" outlineLevel="0" collapsed="false">
      <c r="A2" s="26" t="s">
        <v>329</v>
      </c>
    </row>
    <row r="4" customFormat="false" ht="23.85" hidden="false" customHeight="false" outlineLevel="0" collapsed="false">
      <c r="A4" s="27" t="s">
        <v>330</v>
      </c>
      <c r="B4" s="28" t="s">
        <v>331</v>
      </c>
    </row>
    <row r="6" customFormat="false" ht="15" hidden="false" customHeight="false" outlineLevel="0" collapsed="false">
      <c r="A6" s="27" t="s">
        <v>332</v>
      </c>
      <c r="B6" s="28" t="s">
        <v>333</v>
      </c>
    </row>
    <row r="8" customFormat="false" ht="15" hidden="false" customHeight="false" outlineLevel="0" collapsed="false">
      <c r="A8" s="27" t="s">
        <v>334</v>
      </c>
      <c r="B8" s="28" t="s">
        <v>335</v>
      </c>
    </row>
    <row r="10" customFormat="false" ht="68.65" hidden="false" customHeight="false" outlineLevel="0" collapsed="false">
      <c r="A10" s="27" t="s">
        <v>336</v>
      </c>
      <c r="B10" s="28" t="s">
        <v>337</v>
      </c>
    </row>
    <row r="13" customFormat="false" ht="15" hidden="false" customHeight="false" outlineLevel="0" collapsed="false">
      <c r="A13" s="29" t="s">
        <v>338</v>
      </c>
    </row>
    <row r="15" customFormat="false" ht="23.85" hidden="false" customHeight="false" outlineLevel="0" collapsed="false">
      <c r="A15" s="27" t="s">
        <v>339</v>
      </c>
      <c r="B15" s="28" t="s">
        <v>340</v>
      </c>
    </row>
    <row r="17" customFormat="false" ht="23.85" hidden="false" customHeight="false" outlineLevel="0" collapsed="false">
      <c r="A17" s="27" t="s">
        <v>341</v>
      </c>
      <c r="B17" s="28" t="s">
        <v>342</v>
      </c>
    </row>
    <row r="19" customFormat="false" ht="23.85" hidden="false" customHeight="false" outlineLevel="0" collapsed="false">
      <c r="A19" s="27" t="s">
        <v>10</v>
      </c>
      <c r="B19" s="28" t="s">
        <v>343</v>
      </c>
    </row>
    <row r="21" customFormat="false" ht="23.85" hidden="false" customHeight="false" outlineLevel="0" collapsed="false">
      <c r="A21" s="27" t="s">
        <v>344</v>
      </c>
      <c r="B21" s="28" t="s">
        <v>345</v>
      </c>
    </row>
    <row r="24" customFormat="false" ht="15" hidden="false" customHeight="false" outlineLevel="0" collapsed="false">
      <c r="A24" s="29" t="s">
        <v>346</v>
      </c>
    </row>
    <row r="26" customFormat="false" ht="15" hidden="false" customHeight="false" outlineLevel="0" collapsed="false">
      <c r="A26" s="27" t="s">
        <v>347</v>
      </c>
      <c r="B26" s="28" t="s">
        <v>348</v>
      </c>
    </row>
    <row r="28" customFormat="false" ht="15" hidden="false" customHeight="false" outlineLevel="0" collapsed="false">
      <c r="A28" s="27" t="s">
        <v>349</v>
      </c>
      <c r="B28" s="28" t="s">
        <v>350</v>
      </c>
    </row>
    <row r="30" customFormat="false" ht="15" hidden="false" customHeight="false" outlineLevel="0" collapsed="false">
      <c r="A30" s="27" t="s">
        <v>351</v>
      </c>
      <c r="B30" s="28" t="s">
        <v>352</v>
      </c>
    </row>
    <row r="32" customFormat="false" ht="15" hidden="false" customHeight="false" outlineLevel="0" collapsed="false">
      <c r="A32" s="27" t="s">
        <v>353</v>
      </c>
      <c r="B32" s="28" t="s">
        <v>354</v>
      </c>
    </row>
    <row r="35" customFormat="false" ht="15" hidden="false" customHeight="false" outlineLevel="0" collapsed="false">
      <c r="A35" s="30" t="s">
        <v>355</v>
      </c>
    </row>
    <row r="37" customFormat="false" ht="23.85" hidden="false" customHeight="false" outlineLevel="0" collapsed="false">
      <c r="A37" s="31" t="s">
        <v>356</v>
      </c>
      <c r="B37" s="28" t="s">
        <v>357</v>
      </c>
    </row>
    <row r="39" customFormat="false" ht="35.05" hidden="false" customHeight="false" outlineLevel="0" collapsed="false">
      <c r="A39" s="31" t="s">
        <v>358</v>
      </c>
      <c r="B39" s="28" t="s">
        <v>359</v>
      </c>
    </row>
    <row r="41" customFormat="false" ht="23.85" hidden="false" customHeight="false" outlineLevel="0" collapsed="false">
      <c r="A41" s="31" t="s">
        <v>360</v>
      </c>
      <c r="B41" s="28" t="s">
        <v>361</v>
      </c>
    </row>
    <row r="43" customFormat="false" ht="23.85" hidden="false" customHeight="false" outlineLevel="0" collapsed="false">
      <c r="A43" s="31" t="s">
        <v>362</v>
      </c>
      <c r="B43" s="28" t="s">
        <v>363</v>
      </c>
    </row>
    <row r="45" customFormat="false" ht="35.05" hidden="false" customHeight="false" outlineLevel="0" collapsed="false">
      <c r="A45" s="31" t="s">
        <v>364</v>
      </c>
      <c r="B45" s="28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2026-09-11T18:14:43Z</dcterms:created>
  <dc:creator>openpyxl</dc:creator>
  <dc:description/>
  <dc:language>en-US</dc:language>
  <cp:lastModifiedBy/>
  <dcterms:modified xsi:type="dcterms:W3CDTF">2026-09-11T18:14:43Z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